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230" windowHeight="12495"/>
  </bookViews>
  <sheets>
    <sheet name="文献记录总表" sheetId="1" r:id="rId1"/>
    <sheet name="逻辑关系总览" sheetId="2" r:id="rId2"/>
    <sheet name="填写说明" sheetId="3" r:id="rId3"/>
    <sheet name="下拉选项"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<sst xmlns="http://schemas.openxmlformats.org/spreadsheetml/2006/main" count="537" uniqueCount="447">
  <si>
    <t>序号</t>
  </si>
  <si>
    <t>填写状态</t>
  </si>
  <si>
    <t>调研人</t>
  </si>
  <si>
    <t>分配方向</t>
  </si>
  <si>
    <t>优先级</t>
  </si>
  <si>
    <t>文献题目</t>
  </si>
  <si>
    <t>作者</t>
  </si>
  <si>
    <t>年份</t>
  </si>
  <si>
    <t>期刊/会议</t>
  </si>
  <si>
    <t>DOI/arXiv/链接</t>
  </si>
  <si>
    <t>研究对象/任务</t>
  </si>
  <si>
    <t>方法类别</t>
  </si>
  <si>
    <t>解决的核心问题</t>
  </si>
  <si>
    <t>核心方法</t>
  </si>
  <si>
    <t>主要贡献</t>
  </si>
  <si>
    <t>实验平台/数据集</t>
  </si>
  <si>
    <t>评价指标</t>
  </si>
  <si>
    <t>主要结果</t>
  </si>
  <si>
    <t>相比前人改进</t>
  </si>
  <si>
    <t>局限性</t>
  </si>
  <si>
    <t>可引出的后续研究</t>
  </si>
  <si>
    <t>与其他文献逻辑关系</t>
  </si>
  <si>
    <t>综述中可支撑的观点</t>
  </si>
  <si>
    <t>目标章节</t>
  </si>
  <si>
    <t>引用编号</t>
  </si>
  <si>
    <t>是否已读原文</t>
  </si>
  <si>
    <t>备注</t>
  </si>
  <si>
    <t>待复核</t>
  </si>
  <si>
    <t>孙德科</t>
  </si>
  <si>
    <t>Manipulation</t>
  </si>
  <si>
    <t>高   引用次数：2215</t>
  </si>
  <si>
    <t>Is Imitation Learning the Route to Humanoid Robots?</t>
  </si>
  <si>
    <t>Stefan Schaal</t>
  </si>
  <si>
    <t>Trends in Cognitive Sciences</t>
  </si>
  <si>
    <t>https://web.media.mit.edu/~cynthiab/Readings/schaal-TICS1999.pdf</t>
  </si>
  <si>
    <t>综述</t>
  </si>
  <si>
    <t>作者将 imitation learning 定位为理解自主类人机器人所需感知—运动控制机制的重要研究路径，并指出该领域的核心问题并非简单复制动作，而是如何实现高效运动学习、动作—感知耦合 action-perception coupling，以及基于运动基元 movement primitives 的模块化运动控制。</t>
  </si>
  <si>
    <t>提出模仿学习可作为 humanoid robot learning 的核心路线；将 efficient motor learning、action-perception coupling、movement primitives 三个问题并列为模仿学习核心；把镜像神经元、任务级模仿、运动基元和 forward model 统一到机器人模仿学习框架中。</t>
  </si>
  <si>
    <t>这篇是综述/观点性论文，不是作者自己搭建平台做实验的工作。</t>
  </si>
  <si>
    <t>不适用；以文献归纳和概念分析为主；引用研究中涉及 learning speed、trial number、task accomplishment、policy competence、movement recognition 等指标。</t>
  </si>
  <si>
    <t>最早的一篇</t>
  </si>
  <si>
    <t>作者明确承认：现有方法尚不能令人满意地回答适合模仿的知觉表征、运动表征及其学习问题；镜像神经元是否真正参与模仿仍属推测；直接策略学习要求教师状态和动作可观测，且无法自我改进除非提供显式 reward。</t>
  </si>
  <si>
    <t xml:space="preserve">跨 embodiment 的动作-知觉映射与 retargeting。Schaal 强调 imitation 的难点不只是复制动作，而是把视觉观察映射到机器人自身运动表征；本地论文007 EgoMimic 通过 human-robot domain alignment 让人类第一视角数据和机器人数据共训，010 OKAMI 通过 object-aware retargeting 将单视频人体动作转为 humanoid 轨迹，014 Object-Centric Dexterous Manipulation from Human Motion Data 可进一步从物体中心表征处理手-物交互，                             </t>
  </si>
  <si>
    <t>模仿学习能够显著缩小高维机器人控制中的探索空间，但其真正难点在于建立可泛化的知觉-动作映射、紧凑运动表征和可学习的运动基元体系。</t>
  </si>
  <si>
    <t>[待编号]</t>
  </si>
  <si>
    <t>是</t>
  </si>
  <si>
    <t>作为机器人模仿学习和 humanoid learning 主线的早期基础综述文献。</t>
  </si>
  <si>
    <t>高 RSS 李飞飞</t>
  </si>
  <si>
    <t>DexCap: Scalable and Portable Mocap Data Collection System for Dexterous Manipulation</t>
  </si>
  <si>
    <t>Chen Wang, Haochen Shi, Weizhuo Wang, Ruohan Zhang, Li Fei-Fei, C. Karen Liu</t>
  </si>
  <si>
    <t>Robotics: Science and Systems</t>
  </si>
  <si>
    <t>https://www.roboticsproceedings.org/rss20/p043.pdf</t>
  </si>
  <si>
    <t xml:space="preserve">灵巧操作；人手动作捕捉数据采集；基于人手运动的机器人策略学习；双手操作
</t>
  </si>
  <si>
    <t>已有灵巧操作模仿学习依赖机器人遥操作数据或单视角视觉手部跟踪，前者采集成本高、后者易受遮挡且缺少精确 3D 信息，因此本文试图用便携式手部 mocap 系统直接采集可用于机器人策略学习的人类操作数据。</t>
  </si>
  <si>
    <t>DEXCAP： 新的便携式人手动作捕捉系统，能够为灵巧操作任务实时跟踪手腕和手指运动。
DEXIL： 利用手部动作捕捉数据的模仿学习框架，可以直接从人手运动中学习灵巧操作技能。
人在回路纠正： 结合 DEXCAP 的人在回路纠正机制，可以显著提升机器人在复杂任务中的表现。</t>
  </si>
  <si>
    <t>DexCap 的平台要分成人类采集端和机器人端看。采集端是便携式手部 mocap 系统：Rokoko EMF 手套、胸前 Intel RealSense L515 RGB-D LiDAR、3 个 RealSense T265 tracking cameras（两只手各一个，另一个装在 L515 下方）、Intel NUC 13 Pro 和 40000 mAh 电池；系统以 60 Hz 记录手腕/手指 6-DoF 运动，训练前下采样到 20 Hz。机器人端是双 Franka Emika 机械臂 + 两只 LEAP dexterous hands（每手 4 指、16 关节），用 fingertip IK 做 hand retargeting，机械臂走末端位姿控制，手走关节位置控制；策略主要是 point-cloud Diffusion Policy/DP-perc，后续还加 human-in-the-loop correction。
数据是作者自采的人类双手操作数据，包含 RGB-D/点云、手腕姿态、手部关节/指尖运动；纠错数据则是在真实机器人 rollout 失败后用 residual teleoperation 以 20 Hz 补采。任务数量按论文表格整理如下：
1. Sponge Picking：251 demonstrations；前三个短任务合计约 30 min DexCap 数据；评估 20 trials。
2. Ball Collecting：179 demonstrations；同属 30 min 短任务数据；评估 20 trials。
3. Plate Wiping：102 demonstrations；同属 30 min 短任务数据；评估 20 trials。
4. Packaging：104 demonstrations，约 1 h in-the-wild 数据，覆盖 &gt;10 scenes；另有 30 human-correction trials；评估时 6 个 seen objects 各 5 trials（30 trials），9 个 unseen objects 各 5 trials（45 trials）。
5. Scissor Cutting：96 demonstrations，约 1 h；另有 30 human-correction trials；每个模型设置评估 20 trials。
6. Tea Preparing：55 demonstrations，约 1 h；另有 30 human-correction trials；每个模型设置评估 20 trials。
泛化设置主要体现在随机初始位置、Packaging 的 in-the-wild 场景和 seen/unseen objects；基础训练数据来自人类 DexCap，不是直接机器人遥操作，纠错数据单独统计。</t>
  </si>
  <si>
    <t>t数据采集速度；task/full success；subtask success；unseen-object success；human correction 后性能提升。</t>
  </si>
  <si>
    <t>采集速度约为传统遥操作 3 倍；简单任务最高约 72% 平均成功率；Packaging full success 0.47，纠错后 0.57；Scissor Cutting 和 Tea Preparing 的完整成功率仍只有 0.20/0.25。</t>
  </si>
  <si>
    <t xml:space="preserve">
相对机器人遥操作，DexCap 把数据采集从“操控机器人”转为“捕获自然人手操作”，显著降低示范成本。相对视频学习，它提供对齐到 3D 场景的手腕、手指和点云信息，更适合直接训练低层控制策略。</t>
  </si>
  <si>
    <t>论文要求T265/L515 和复杂标定。DexIL 依赖 fingertip IK 做 retargeting，本质上把人手到机械手的 embodiment gap 简化成指尖匹配，尺寸差、手指厚度、碰撞和接触力都没有被充分建模。系统没有力觉/触觉，剪刀、拧盖、倒茶这类任务的关键接触状态不可观测，导致 Scissor Cutting 和 Tea Preparing 的 full success 仍很低，并且需要 human-in-the-loop correction 补救。因此本文证明了 mocap 数据“有用”，但还没有证明它足以稳定解决高精度、多接触、长时程灵巧操作。</t>
  </si>
  <si>
    <t xml:space="preserve">1. 在 DexCap 采集中加入力觉/触觉：剪刀、拧盖、倒茶等任务的关键失败来自接触状态不可观测，这是最直接也最有价值的补强。
2. 改进 retargeting：从 fingertip IK 升级为考虑接触、碰撞、手指厚度和物体约束的 object/contact-aware retargeting。
</t>
  </si>
  <si>
    <t>系统平台：为后续 EgoMimic、ACE、Open-TeleVision 等数据采集和人类示范规模化工作提供对照，也为灵巧 manipulation imitation 提供人类 mocap 数据入口。</t>
  </si>
  <si>
    <t>便携式 mocap 系统说明机器人模仿学习的数据瓶颈可以从“遥操作机器人”转向“采集人类操作”，但跨 embodiment retargeting 和接触信息缺失仍是核心限制。</t>
  </si>
  <si>
    <t>高 ICRA 2025</t>
  </si>
  <si>
    <t>Learning Visuotactile Skills with Two Multifingered Hands</t>
  </si>
  <si>
    <t>Toru Lin, Yu Zhang, Qiyang Li et al.</t>
  </si>
  <si>
    <t>ICRA</t>
  </si>
  <si>
    <t>https://doi.org/10.1109/ICRA55743.2025.11128180</t>
  </si>
  <si>
    <t>双手多指视觉-触觉模仿学习，重点是滑移交接、堆叠、倒酒和工具切割等接触丰富任务。</t>
  </si>
  <si>
    <t>双手多指任务的失败常来自接触状态不可观测；只用视觉或夹爪示范难以稳定处理滑移、抓稳和工具接触。</t>
  </si>
  <si>
    <t>用双 UR5e + 双 Ability Hand + RGB-D + 指尖触觉采集示范；策略输入视觉、触觉和本体状态，用 Diffusion Policy 预测双手动作序列。</t>
  </si>
  <si>
    <t>这篇主要贡献在系统和数据采集条件上：作者把带触觉传感的 prosthetic hands 改造成双臂多指研究平台，并做了 HATO 遥操作系统，用 Meta Quest 2 同时控制 UR5e 手臂末端位姿和 Ability Hand 手指关节。它还配套整理了数据采集、多模态处理、策略训练和部署流程，使视觉、触觉和本体信息能用于端到端模仿学习。实验上，论文用 Slippery Handover、Tower Block Stacking、Wine Pouring、Steak Serving 四个任务检查数据量、相机视角、深度和触觉模态分别带来的影响。</t>
  </si>
  <si>
    <t>这篇的实验平台是 HATO：两台 UR5e 机械臂，每台装一只 Psyonic Ability Hand（5 指、每手 6 个驱动自由度）。采集设备包括 3 台 RealSense RGB-D 相机（两个腕部视角 + 一个固定第三视角）、Ability Hand 指尖触觉传感器（双手合计 60 路 tactile readings），以及用于遥操作的 Meta Quest 2 headset/controllers。系统通过 Oculus reader 读 VR 设备，手臂用 IK，手柄 grip/joystick 控制手指和拇指；以 10 Hz 记录 RGB-D、本体状态、末端位姿、手指位置、触觉 ADC 和动作，策略使用 Diffusion Policy。
数据是作者自采的真实机器人 VR 遥操作示范。任务和数量比较清楚：
1. Slippery Handover：100 demonstrations，约 6 s/条；10 条 held-out demos 用于 ActionMSE；真实部署评估 10 trials。
2. Tower Block Stacking：100 demonstrations，约 20 s/条；10 条 held-out demos；真实部署评估 10 trials，另有 rare initialization（旋转木块）评估 10 trials。
3. Wine Pouring：300 demonstrations，约 25 s/条；20 条 held-out demos；真实部署评估 10 trials。
4. Steak Serving：300 demonstrations，约 40 s/条；20 条 held-out demos；真实部署评估 10 trials，并做相机/触觉模态消融。
训练数据和 held-out demos 分开；真实机器人部署每个主任务 10 trials。触觉主要在 Block Stacking 和 Steak Serving 中体现价值，Handover/Wine 更偏视觉和本体状态。</t>
  </si>
  <si>
    <t>pickup success；full task success；rare initialization success；视觉/触觉模态消融；Action MSE。</t>
  </si>
  <si>
    <t>四个任务 pickup success 均为 10/10；完整任务成功率：Slippery Handover 10/10、Block Stacking 10/10、Wine Pouring 9/10、Steak Serving 5/10；rare Block Stacking 中完整 visuotactile 为 10/10，去掉 touch 为 4/10，去掉 vision 为 0/10；Steak Serving 去掉 touch 或 vision 后 full success 0/10</t>
  </si>
  <si>
    <t>相较于 ALOHA/GELLO 等 parallel-jaw 或无触觉双臂示范系统，HATO 的机制性改进是把“多指手形态”和“触觉观测”同时纳入 imitation policy，而不是只依赖夹爪、RGB 图像或本体状态。论文中的结果说明，复杂双手任务的瓶颈并不只是动作维度高，还包括接触状态不可观测：例如 rare Block Stacking 中去掉 touch 后成功率明显下降，Steak Serving 中去掉 touch 或 vision 后无法完成完整任务。与本地002 DexCap 相比，HATO 不以便携 mocap 扩大人类手部数据规模为重点，而是证明接触信号对于真实多指双手策略学习是必要模态；与本地004 Bunny-VisionPro 相比，HATO 的触觉主要进入 robot policy observation，而 Bunny 更强调把触觉反馈给操作者改善 teleoperation experience。因此，HATO 对前人的改进在于把“示范采集系统”推进到“视觉-触觉-多指形态共同决定策略可学性”的层面。</t>
  </si>
  <si>
    <t>HATO 的不足在于硬件和任务设置很重，但泛化证据并不匹配它的系统复杂度。论文用了双 UR5e、双 Ability Hand、多路 RGB-D 和指尖触觉，成本、同步、标定和维护门槛都很高，难以说明这是可规模化的数据路线。实验任务数量有限，且多是受控桌面环境；Steak Serving 只有 50% full success，直接暴露出长时程工具使用和精细切割仍不可靠。策略从零训练，对背景、物体外观、相机布置和触觉传感器状态都可能敏感，缺少跨场景、跨物体、跨硬件的强泛化验证。</t>
  </si>
  <si>
    <t>1. 降低视觉-触觉硬件复杂度，提升系统可复制性。
2. 扩展到更长时程工具任务，重点解决 Steak Serving 暴露出的连续接触不稳。
3. 做跨物体、跨场景和传感器退化测试，验证触觉收益是否稳健。</t>
  </si>
  <si>
    <t>与本地文献002 DexCap 互补：002 缺触觉，003 证明触觉对多指接触任务关键。与本地文献004 Bunny 的关系是触觉位置不同：004 给操作者反馈，003 给策略观测。</t>
  </si>
  <si>
    <t>在双手多指操作中，视觉负责空间关系，触觉负责接触确认；二者缺一都会限制复杂任务成功率。</t>
  </si>
  <si>
    <t>高 IROS</t>
  </si>
  <si>
    <t>Bunny-VisionPro: Real-Time Bimanual Dexterous Teleoperation for Imitation Learning</t>
  </si>
  <si>
    <t>Runyu Ding, Yuzhe Qin, Jiyue Zhu et al.</t>
  </si>
  <si>
    <t>IROS</t>
  </si>
  <si>
    <t>https://doi.org/10.1109/IROS60139.2025.11247017</t>
  </si>
  <si>
    <t>基于 Apple Vision Pro 的实时双手灵巧遥操作与示范采集，面向下游 imitation learning。</t>
  </si>
  <si>
    <t>双手多指遥操作需要同时满足手臂安全、手指 retargeting、低延迟反馈和可学习示范质量，现有系统往往只解决其中一部分。</t>
  </si>
  <si>
    <t>用 Vision Pro 捕获手腕和手指；实时 IK 中加入避碰和避奇异；支持 Ability Hand retargeting；用 ERM 指套提供触觉反馈；采集数据训练 ACT/DP/DP3。</t>
  </si>
  <si>
    <t>Bunny-VisionPro 的贡献集中在把 Apple Vision Pro 变成可用的双臂多指遥操作入口。系统用 AVP 的手部/手腕追踪实时控制双 xArm-7 + Ability hands，并专门处理了三类工程问题：手臂避碰与奇异规避这里（有一段推导没看—、适用于 loop joints 的多指 retargeting、以及低成本 ERM 触觉反馈。论文的实验不是单纯展示遥操作，而是把采集到的示范用于 Telekinesis benchmark、自定义短程/长程 IL 任务、空间和物体泛化测试，以及触觉用户实验。</t>
  </si>
  <si>
    <t>Bunny-VisionPro 用 Apple Vision Pro 做双手/手腕追踪，机器人是两台 UFactory xArm-7 + 两只 6-DoF Psyonic Ability hands，合起来是 24-DoF 双臂灵巧操作系统。视觉示范主要来自两台 RealSense L515（front/top）；机器人指尖还有 FSR 触觉传感器，操作者端用带 ERM 振动马达的指套做触觉反馈研究。控制上包含 SQP hand retargeting、机械臂 IK、碰撞/奇异规避和双臂初始化模式；模仿学习实验用了 ACT、Diffusion Policy 和 DP3。图像/点云约 30 Hz，机器人本体 &gt;100 Hz，训练时对齐并下采样到 10 Hz。
数据是作者自采的 AVP 遥操作机器人示范，包含双 RealSense 图像/点云、机器人关节/末端状态、retargeted 手部动作，以及触觉信号（主要用于触觉反馈/消融）。按任务看：
1. Telekinesis benchmark：10 个单臂/单手任务（Pickup Box Object、Pickup Fabric Toy、Box Rotation、Scissor Pickup、Cup Stack、Two Cup Stacking、Pouring Cubes onto Plate、Cup Into Plate、Open Drawer、Open Drawer &amp; Pickup Object）；论文给出每任务 10 trials 评估，但训练示范数论文未报告具体数量。
2. Grasp Toy：50 demonstrations；遥操作采集成功 50/55 trials；模仿学习评估 10 trials，并做空间泛化和 unseen objects。
3. Clean Pan：50 demonstrations；遥操作采集成功 50/58 trials；模仿学习评估 10 trials，并做空间泛化和 unseen objects。
4. Uncover &amp; Pour：50 demonstrations；遥操作采集成功 50/63 trials；模仿学习评估 10 trials，并做空间泛化和 unseen objects。
5. Wipe Glass：30 demonstrations；遥操作采集成功 30/41 trials；DP3 评估 10 trials。
6. Sweep Floor：30 demonstrations；遥操作采集成功 30/40 trials；DP3 评估 10 trials。
7. Prepare Coffee：30 demonstrations；遥操作采集成功 30/44 trials；DP3 评估 10 trials。
8. Haptic user study：toy handover 和 ball moving；5 名无训练操作者，每人每任务 5 trials。
泛化主要包括短程任务的 spatial generalization 和 unseen objects（形状、大小、颜色变化）；长程任务评估子任务和整体完成。触觉反馈硬件是单独的人因实验，不完全等同于主要 IL 数据采集。</t>
  </si>
  <si>
    <t>遥操作成功率、完成时间、episode length、关节变化量；IL success、空间泛化、未见物体泛化、long-horizon full/subtask success。</t>
  </si>
  <si>
    <t>相对基线，遥操作成功率和效率提升；下游 IL 平均成功率提升约 22%，未见物体泛化提升约 26%；但长时程 full success 只有 38%。</t>
  </si>
  <si>
    <t>相对只强调控制或视觉跟踪的遥操作系统，Bunny 的改进在于把双手多指 retargeting、实时安全约束和触觉反馈放进同一示范采集流程，使轨迹更平滑、更适合行为克隆。</t>
  </si>
  <si>
    <t>它依赖 Apple Vision Pro、特定机械臂/Ability Hand 和精心设计的实时 retargeting，硬件门槛和平台绑定很重； 当手指发生自遮挡时，Vision Pro 的手部追踪不够准确，会导致控制命令出现抖动或不连续。当机器人轻触物体时，触觉反馈中的细微变化较难被人类感知到。
E</t>
  </si>
  <si>
    <t>1. 把触觉反馈纳入主数据采集流程，严肃评估它是否提升示范质量。
2. 针对长时程失败阶段做分段纠错或策略微调。
3. 验证系统能否迁移到更普通的头显、相机和机器人手。</t>
  </si>
  <si>
    <t>与本地文献005 Open-TeleVision 同属沉浸式遥操作，但004侧重双手灵巧和触觉，005侧重主动双目视觉。与本地文献003 HATO 的联系是触觉，但触觉作用对象不同。</t>
  </si>
  <si>
    <t>遥操作系统的价值不只在“能控制机器人”，还在于能否产生稳定、低噪声、适合策略学习的示范。</t>
  </si>
  <si>
    <t>中</t>
  </si>
  <si>
    <t>Open-TeleVision: Teleoperation with Immersive Active Visual Feedback</t>
  </si>
  <si>
    <t>Xuxin Cheng, Jialong Li, Shiqi Yang et al.</t>
  </si>
  <si>
    <t xml:space="preserve"> CoRL </t>
  </si>
  <si>
    <t>https://doi.org/10.48550/arXiv.2407.01512</t>
  </si>
  <si>
    <t>带主动双目第一视角反馈的 humanoid 遥操作和模仿学习。</t>
  </si>
  <si>
    <t>固定视角或被动第一视角会在精细操作中产生遮挡和深度判断困难；humanoid 示范采集还需要记录“看哪里”而不只是“手怎么动”。</t>
  </si>
  <si>
    <t>VR 端采集操作者头、手和腕姿态；机器人主动双目头随头动提供 stereo egocentric video；IK/retargeting 映射到 H1/GR-1；ACT 类策略同时预测头、臂、手动作。</t>
  </si>
  <si>
    <t>Open-TeleVision 的核心贡献是把 VR 遥操作和机器人第一视角主动双目视觉结合起来。操作者看到的是机器人头部 ZED Mini 返回的实时立体画面，头部动作会映射到机器人主动相机/头部运动，手部姿态再通过 IK 和 retargeting 控制 H1 或 GR-1 的手臂、灵巧手/夹爪。论文还说明这类主动第一视角数据可以直接用于模仿学习，并在分拣、插入、折叠、卸载等双臂任务和 stereo perception 用户研究中做了验证。</t>
  </si>
  <si>
    <t>Open-TeleVision 的硬件覆盖两个 humanoid：Unitree H1（两臂各 7-DoF + 6-DoF Inspire hands，头部 2-DoF yaw/pitch gimbal）和 Fourier GR-1（两臂各 7-DoF + 1-DoF jaw grippers，3-DoF neck）。遥操作端用 Apple Vision Pro，机器人头部装 ZED Mini active stereo RGB camera（左右眼各 480×640、60 Hz）；H1 头部 gimbal 用 DYNAMIXEL XL330-M288-T。软件上是 Open-TeleVision/Vuer web server，配合 Pinocchio CLIK、dex-retargeting、SLSQP/NLopt，模仿学习策略是带 DinoV2 backbone 和 action chunking 的 ACT。
数据是作者自采的真实 humanoid 遥操作示范，记录双目 RGB、头/腕/手姿态、关节状态和动作序列。训练/评估规模按表格整理：
1. H1 Can Sorting：10 demonstrations，平均 93±5 s/episode；每个 episode 包含 10 次 can sorting，约 100 次分拣执行；评估 5 episodes。
2. GR-1 Can Sorting：10 demonstrations，平均 61±5 s/episode；每个 episode 包含 6 次 can sorting，约 60 次分拣执行；评估 5 episodes（30 次 pick-place）。
3. Can Insertion：20 demonstrations，平均 84±7 s/episode；每个 episode 将 6 个 cans 放入 slot；评估 5 episodes。
4. Folding：20 demonstrations，平均 44±5 s/episode；每个 episode 完成 1 次毛巾折叠；评估 5 episodes。
5. Unloading：20 demonstrations，平均 93±6 s/episode；每个 episode 从 4 个随机 slot 取出 4 根 tube；评估 5 episodes。
额外评估里，Can Sorting 做了 4×4 网格位置泛化（每个位置 5 trials）；还做了 stereo vs mono 用户研究（4 名参与者、约 5 min 熟悉）。耳塞包装、钻孔、移液、远程双机器人等是定性 teleoperation 展示，论文未报告具体数量。</t>
  </si>
  <si>
    <t>subtask success；policy success；用户研究成功率和完成时间；推理延迟；远程遥操作完成情况。</t>
  </si>
  <si>
    <t>stereo feedback 在用户研究中明显优于 mono；多个 H1 子任务达到约 87%-100% 成功；active cropped vision 可 83Hz 部署。</t>
  </si>
  <si>
    <t>相对固定第三视角或被动头部相机，Open-TeleVision 的改进是把主动视角纳入遥操作动作和策略学习目标，让机器人学到头部观察行为，而不只是手臂轨迹。</t>
  </si>
  <si>
    <t>Open-TeleVision 的短板在于它把沉浸式视觉反馈做得很完整，但对机器人真实操作中更难的接触、力控和全身运动问题回避得较多。系统没有 haptic feedback，操作者只能靠视觉判断接触，这会在插入、抓稳、递交、软物体操作中放大误差。实验主要集中在上半身、桌面或半结构化任务，尚未充分使用 humanoid 的全 DoF，也没有证明 mobile whole-body manipulation 的稳定性。主动头部双目、VR streaming 和网络延迟带来额外系统复杂度，一旦视觉链路抖动或视角不佳，遥操作质量会直接下降。缺少 expert data relabeling 也意味着采集数据的错误会原样进入模仿学习。</t>
  </si>
  <si>
    <t>1. 补充触觉/力反馈，仅靠视觉难以稳定处理插入和抓稳。
2. 扩展到移动全身操作，验证腿、腰和平衡是否能进入同一学习框架。
3. 建立示范清洗与 relabeling 流程，避免遥操作错误污染训练数据。</t>
  </si>
  <si>
    <t>与本地文献004 Bunny-VisionPro 互补：005 强在主动双目和头部视角，004 强在双手灵巧与触觉。与本地文献009 DISaM 的关系是系统与机制：005 记录人如何看，009 研究策略何时看。</t>
  </si>
  <si>
    <t>humanoid manipulation 的观测视角本身应被视为可学习动作；主动视觉能显著影响示范质量和策略成功率。</t>
  </si>
  <si>
    <t>ACE: A Cross-Platform Visual-Exoskeletons System for Low-Cost Dexterous Teleoperation</t>
  </si>
  <si>
    <t>Shiqi Yang, Minghuan Liu, Yuzhe Qin et al.</t>
  </si>
  <si>
    <t>https://doi.org/10.48550/arXiv.2408.11805</t>
  </si>
  <si>
    <t>低成本跨平台 visual-exoskeleton 遥操作，用于多机器人示范采集。</t>
  </si>
  <si>
    <t>遥操作设备常与特定机器人绑定；纯视觉跟踪不稳，VR/mocap 又成本较高，难以形成通用低成本示范接口。</t>
  </si>
  <si>
    <t>用 3D 打印外骨骼编码器提供腕部/末端位姿，用手部相机和 MediaPipe 估计 hand keypoints，再通过 scaling、模式切换和 IK/retargeting 适配手、夹爪、机械臂和 humanoid。</t>
  </si>
  <si>
    <t>ACE 的贡献更偏低成本遥操作硬件设计。它用 visual-exoskeleton 同时获得两类信息：外骨骼负责较准确的手腕/末端位姿，手部朝向相机负责估计 3D 手姿态；再通过 IK 和 retargeting 把同一套操作者输入映射到灵巧手、夹爪、机械臂和 humanoid 上。论文用仿真 target-reaching、xArm7 + Ability Hand、H1 + Inspire Hand 的真实 IL 任务，以及多平台遥操作展示来说明这套接口在不同精度和工作空间要求下是否可用。</t>
  </si>
  <si>
    <t>ACE 是低成本 cross-platform visual-exoskeleton。采集端是双手各一套 3D 打印 6-DoF 外骨骼臂 + 2-DoF 末端相机架，末端装手部朝向 webcam；硬件包括 U2D2 控制器和 DYNAMIXEL XL330-M288-T 舵机/12-bit encoder，MediaPipe 提取 21 个手部关键点。它支持多种机器人，实验里重点是 xArm7 + Ability Hand 和 Unitree H1 + Inspire Hand，也展示了 B1+Z1、Franka+gripper、GR-1+gripper 等平台。控制管线用 FK 求腕部位姿，再做 IK/retargeting；支持 gripper mode 和 hand mode，数据通过 gRPC 传输。xArm 任务用 3D Diffusion Policy，H1 任务用 ACT。
数据是作者自采的外骨骼遥操作数据，包含外骨骼关节/腕部位姿、手部关键点、机器人关节/动作，以及相机 RGB/点云或 top-camera RGB。真实 IL 任务数量如下：
1. Vacuum Keyboard：xArm7 + Ability；遥操作采集成功 30/38 trials，平均 45.6 s；真实模仿评估 10 episodes。
2. Serve Candies：xArm7 + Ability；遥操作采集成功 45/53 trials，平均 37.6 s；真实模仿评估 10 episodes。
3. Wipe Whiteboard：xArm7 + Ability；遥操作采集成功 30/37 trials，平均 33.5 s；真实模仿评估 10 episodes。
4. Grasp Dolls（xArm7）：遥操作采集成功 120/123 trials，平均 11.6 s；训练物体 9 种小娃娃 + 2 种大娃娃，测试物体 15 种小娃娃 + 3 种大娃娃；真实模仿评估 10 episodes。
5. Put in Tennis：H1 + Inspire；遥操作采集成功 25/29 trials，平均 21.4 s；真实模仿评估 10 episodes。
6. Grasp Dolls（H1）：遥操作采集成功 62/66 trials，平均 13.7 s；真实模仿评估 10 episodes。
7. Target-reaching simulation：xArm 仿真目标到达，Small/Small、Medium/Small、Medium/Medium、Large/Large 四种设置；6 名操作者参与，但每场景目标数量和总轨迹数论文未报告具体数量。
Grasp Dolls 明确做 unseen doll object 泛化。论文还展示了堆叠、咖啡、焊接、喷洒、传递、移液、插网球、装箱、推车等跨平台 teleoperation 例子，但这些展示任务没有给出可用的数据采集数量。</t>
  </si>
  <si>
    <t>末端误差；target reaching 成功率/时间/速度；数据采集成功率；下游 imitation substep success。</t>
  </si>
  <si>
    <t>末端误差约 3mm；多种 target-reaching 设置优于 GELLO；在 xArm/H1/GR-1 等平台上能完成多类示范采集和下游 imitation。</t>
  </si>
  <si>
    <t>相对 robot-specific joint matching，ACE 的改进是将人类末端位姿和手势作为中间接口，再适配不同 embodiment；相对纯视觉跟踪，它用外骨骼提供更稳定的腕部位姿。</t>
  </si>
  <si>
    <t>ACE 的问题在于“低成本、跨平台”是以操作自然性和感知可靠性为代价换来的。外骨骼和相机支架会物理限制双手靠拢，并增加旋转动作负担；这不是小瑕疵，而是直接排除了很多需要双手贴近、手腕大幅旋转或精细姿态调整的任务。workspace scaling 虽能扩大可达范围，但会破坏人手动作与机器人动作之间的直觉对应，数据质量可能变成系统补偿后的产物而非自然示范。手部姿态依赖 MediaPipe，在遮挡、快速运动、手外观变化和物体遮挡下都有脆弱性。实验覆盖了多平台，但各平台任务深度有限，更多证明“能接上很多机器人”，还没有证明“跨平台采来的数据都能稳定训练出高成功率策略”。</t>
  </si>
  <si>
    <t>1. 优化外骨骼结构，减少对双手靠近和手腕旋转的物理限制。
2. 提高手部视觉跟踪鲁棒性，避免遮挡误差直接变成错误示范。
3. 验证跨平台数据是否真正能提升同一策略的泛化，而不只是能采集。</t>
  </si>
  <si>
    <t>与本地文献002 DexCap、004 Bunny、005 Open-TeleVision 同属示范采集系统；006 的独特价值是低成本跨平台接口，更适合作为成本和平台覆盖的对照。</t>
  </si>
  <si>
    <t>跨平台遥操作的关键是找到 embodiment-agnostic 的人体动作接口，而不是复制某个机器人关节。</t>
  </si>
  <si>
    <t>高 ICRA</t>
  </si>
  <si>
    <t>EgoMimic: Scaling Imitation Learning via Egocentric Video</t>
  </si>
  <si>
    <t>Simar Kareer, Dhruv Patel, Ryan Punamiya et al.</t>
  </si>
  <si>
    <t xml:space="preserve">ICRA </t>
  </si>
  <si>
    <t>https://doi.org/10.48550/arXiv.2410.24221</t>
  </si>
  <si>
    <t>从人类第一视角视频和机器人数据共同训练双臂模仿策略。</t>
  </si>
  <si>
    <t>机器人遥操作数据昂贵且规模小；普通人类视频多只提供高层意图，难以直接监督低层机器人动作。这个过程中，要实现      1）统一动作坐标系；              2）对齐动作分布；              （3）缓解视觉外观差异。</t>
  </si>
  <si>
    <t>EgoMimic 的主要贡献是把人类第一视角数据真正放进低层策略训练，而不是只当作视觉预训练或高层提示。作者用 Project Aria 采集人类 egocentric video、3D 手部轨迹和 SLAM 信息，同时让机器人端使用相近的 egocentric 传感配置；然后对齐人类/机器人动作坐标系和动作分布，并用视觉遮挡减小人臂与机器人外观差异。策略上共享视觉编码器和 policy network，但保留 human pose decoder 与 robot joint decoder；实验在 Object-in-Bowl、Groceries、Laundry 上比较 human+robot co-training 和 robot-only，并测试新场景、背景、光照和衣物颜色。</t>
  </si>
  <si>
    <t>EgoMimic 同时用人类第一视角数据和机器人遥操作数据。人类采集端是 Project Aria 眼镜（前向 wide-FoV RGB、两个 mono SLAM cameras，MPS 输出 SLAM、半稠密点云、3D hand tracking 和 eye gaze）。机器人是低成本双臂平台：两个 6-DoF ViperX 300 S follower arms 以倒置 torso 安装，机器人躯干/头部也装 Project Aria，并有两台 Intel RealSense D405 wrist cameras；遥操作 leader rig 是两台 WidowX leader arms。人类数据约 30 Hz，机器人数据约 50 Hz。
数据类型包括人类 egocentric RGB + 3D 手轨迹、机器人 egocentric/wrist RGB、末端/关节状态和动作。方法上把人手轨迹对齐成 camera-centered action，并用 SAM2 mask/视觉提示，策略是 ACT-style shared transformer，分别有 human pose decoder 和 robot joint decoder。任务数据量如下：
1. Object-in-Bowl：3 个 bowl + 5 个 toy，45 cm × 60 cm 区域；人类数据 1400 demonstrations / 60 min（约 23 demos/min），机器人数据 270 demonstrations / 120 min（约 2 demos/min）；评估 45 rollouts，覆盖 9 种 bowl-toy-position 组合。
2. Groceries：人类数据 160 demonstrations / 80 min（约 2 demos/min），机器人数据 300 demonstrations / 300 min（约 1 demo/min）；评估 50 rollouts，覆盖 10 个 bag positions。
3. Laundry：人类数据 590 demonstrations / 100 min（约 6 demos/min），机器人数据 430 demonstrations / 300 min（约 1 demo/min）；评估 40 rollouts，覆盖 8 种 shirt-position 组合。
泛化实验包括 Object-in-Bowl 的 unseen scene/background/lighting，以及 Laundry 的 unseen shirt colors。论文还强调数据效率差异：以 Object-in-Bowl 为例，1 h 人类数据可获得 1400 demonstrations，而机器人遥操作大约 135 demonstrations/h。</t>
  </si>
  <si>
    <t>task score；success rate；open-bag rate；unseen color/scene 泛化；增加人类数据 vs 增加机器人数据的收益。</t>
  </si>
  <si>
    <t>EgoMimic 在三任务上显著优于 ACT 和 MimicPlay；Laundry SR 88%，Groceries SR 30%；2h robot + 1h human 优于 3h robot，说明人类数据有实际增益。</t>
  </si>
  <si>
    <t>相对只用机器人数据训练策略，EgoMimic 引入可规模化的人类第一视角数据；相对只从人类视频提取高层计划，它把 3D hand tracks 对齐到低层动作空间并参与策略共训。</t>
  </si>
  <si>
    <t>EgoMimic 的核心不足是它并没有真正摆脱机器人数据依赖。方法仍需要一定 robot data 来监督 joint action head，人类 egocentric video 主要起到补充和正则化作用，因此“scaling imitation learning via egocentric video”的主张不能被理解为只靠人类视频就能学会机器人动作。系统强依赖 Aria 的 3D hand tracking、SLAM、masking 和人机视角对齐，任何跟踪漂移或分割失败都会污染动作表示。任务仍以双臂桌面操作为主，对接触力、手内操作、工具使用和长时程失败恢复刻画不足。跨 embodiment 泛化和“只在人类数据中出现的新行为”还是未来工作，说明方法当前的泛化边界相当窄。它证明了人类第一视角视频有帮助，但没有证明这条路线可以独立替代高质量机器人示范。</t>
  </si>
  <si>
    <t>1. 减少对机器人 joint action 数据的依赖，真正释放人类视频规模优势。
2. 提升 hand tracking、masking 和坐标对齐的鲁棒性。
3. 扩展到接触丰富和手内操作，检验 egocentric video 的细节上限。</t>
  </si>
  <si>
    <t>与本地文献010 OKAMI 都利用人类视频降低示范成本；007 依赖人机数据共训，010 强调单视频 retargeting。与本地文献002 DexCap 是数据来源对照：第一视角视频 vs 3D mocap。</t>
  </si>
  <si>
    <t>人类 egocentric 视频只有在具备 3D hand tracking 和跨域动作对齐时，才可能从高层意图资源变成低层策略训练数据。</t>
  </si>
  <si>
    <t>高IROs</t>
  </si>
  <si>
    <t>Generalizable Humanoid Manipulation with 3D Diffusion Policies</t>
  </si>
  <si>
    <t>Yanjie Ze, Zixuan Chen, Wenhao Wang et al.</t>
  </si>
  <si>
    <t>https://doi.org/10.48550/arXiv.2410.10803</t>
  </si>
  <si>
    <t>真实 humanoid 上的 3D diffusion policy，关注物体、视角和场景泛化。</t>
  </si>
  <si>
    <t>RGB 策略容易过拟合外观；原 DP3 依赖固定相机标定和点云处理，难以直接用于头部相机和真实 humanoid 泛化。</t>
  </si>
  <si>
    <t>用 Apple Vision Pro 采集 GR1 上半身遥操作数据；iDP3 使用相机坐标系点云、更大点数、pyramid convolutional encoder 和更长 prediction horizon，输出 humanoid joint targets。</t>
  </si>
  <si>
    <t>这篇的贡献是把 3D Diffusion Policy 改到 full-sized humanoid 的真实操作场景里。作者搭建 Fourier GR1 上半身学习系统，用 AVP 遥操作和头部 RealSense L515 采集单场景示范；方法上不用固定相机标定或人工点云分割，而是直接采用相机坐标系下的 egocentric 3D 表示，并扩大点云输入来保留桌面和背景中的相关几何信息。实验以 Pick&amp;Place 做主要消融，再在 Pick&amp;Place、Pour、Wipe 上检查训练场景、新物体、新视角和新场景条件下的表现。</t>
  </si>
  <si>
    <t>这篇 iDP3 的真实平台是 Fourier GR1 humanoid，只启用上半身 25 DoF（头、腰、双臂、双 Inspire hands），下半身固定在可调高度推车上。感知用头部 Intel RealSense L515 RGB-D/LiDAR；遥操作用 Apple Vision Pro，配合 Relaxed IK 求双臂关节。策略输入是 egocentric camera-frame point cloud（如 4096 points）和本体关节，动作是目标关节位置。
数据是作者自采的真实 humanoid 遥操作 trajectories，每条 trajectory 是 observation-action pairs，包括点云/图像、关节状态和目标关节动作。数量按两个实验块看：
1. Pick&amp;Place 主基准：4 种设置（1st-1、1st-2、3rd-1、3rd-2）。1-demo 设置相当于 1 条 demonstration × 20 个成功执行回合，2-demo 设置为 2 条 demonstrations × 20 个成功执行回合，即 20 或 40 个训练执行；物体位置在 10 cm × 20 cm 区域随机。每个方法评估 3 个 episodes × 1000 action steps，约 130 trials/method，均 &gt;100 trials。
2. Pick&amp;Place 能力任务：10 demonstrations × 10 rollouts = 100 episodes；物体姿态在 10 cm × 10 cm 区域随机。
3. Pour 能力任务：10 demonstrations × 10 rollouts = 100 episodes；物体姿态在 10 cm × 10 cm 区域随机。
4. Wipe 能力任务：10 demonstrations × 10 rollouts = 100 episodes。
三个能力任务合计 300 training episodes。评估按 task/condition 做 10 trials，条件包括 training setting、new object、new view、new scene；Wipe 没有在表格里做新物体/新视角/新场景测试。论文总体报告超过 2000 次真实评估 trials，总计 2253 real-world episodes。</t>
  </si>
  <si>
    <t>task success；grasp success/attempts；new object/view/scene success；训练时间；encoder、点数和 horizon 消融。</t>
  </si>
  <si>
    <t>iDP3 在训练和新物体/视角/场景中多项达到 9/10 或 10/10，显著优于 RGB DP；训练时间也低于 RGB baseline。</t>
  </si>
  <si>
    <t>相对 RGB policy，iDP3 用 3D 几何减少外观过拟合；相对原 DP3，它取消固定 world-frame 和强分割依赖，更适合 humanoid 头部视角。</t>
  </si>
  <si>
    <t>iDP3 的不足在于实验成功率很漂亮，但建立在受限场景和高成本遥操作之上。。论文没有使用下半身，humanoid 被放在 height-adjustable cart 上，实际上绕开了 humanoid 操作中最困难的平衡、移动和全身协调问题。任务多为上半身桌面操作，距离开放环境中的移动操作还有明显距离。因此它证明的是“受控上半身 humanoid 上 3D diffusion policy 有效”，而不是完整意义上的通用 humanoid manipulation。                                他要求高质量的原始点云，使用其他的激光雷达会显著影响效果。这是因为他在分离无关物体时是通过提高采样率做的，</t>
  </si>
  <si>
    <t>1. 解决点云噪声、透明/反光物体和遮挡问题。
2. 降低 Vision Pro 遥操作采集负担，引入更高效示范或半自动纠错。
3. 扩展到移动全身 humanoid，验证平衡和操作能否共同学习。</t>
  </si>
  <si>
    <t>承接 3D diffusion policy 路线；与本地文献005 Open-TeleVision、006 ACE 的关系是：005/006 偏 humanoid 数据采集接口，008 偏 3D 策略表示和泛化。</t>
  </si>
  <si>
    <t>3D 表征在 humanoid manipulation 中是重要 inductive bias，能改善跨视角、跨物体和跨场景泛化，但依赖深度质量。</t>
  </si>
  <si>
    <t>Learning to Look: Seeking Information for Decision Making via Policy Factorization</t>
  </si>
  <si>
    <t>Shivin Dass, Jiaheng Hu, Ben Abbatematteo et al.</t>
  </si>
  <si>
    <t xml:space="preserve">CoRL </t>
  </si>
  <si>
    <t>https://doi.org/10.48550/arXiv.2410.18964</t>
  </si>
  <si>
    <t>主动感知操作：机器人在操作前或操作中主动寻找隐藏任务信息。</t>
  </si>
  <si>
    <t>很多操作失败不是控制不够好，而是关键信息没被观察到；统一 RL 同时学习“看”和“做”在长时程稀疏奖励下训练困难。</t>
  </si>
  <si>
    <t>将任务分解为 information-seeking policy 和 information-receiving manipulation policy；先用 IL 训练执行策略，再用其不确定性/BC loss 作为内在奖励训练寻找信息策略，并在测试时按不确定性切换。</t>
  </si>
  <si>
    <t xml:space="preserve">Learning to Look 的贡献首先是把需要主动寻找隐藏信息的操作任务写成 factorized CMDP：一个子问题负责找上下文，另一个子问题在已知上下文后执行操作。                                                                                         提出了 DISaM 双策略框架，通过不确定度切换。                                                            提 出了一个更容易训练的信息寻求策略训练方式。、先在真实 context 条件下用模仿学习训练 IR policy，然后用 IR policy 的动作差异损失构造内在奖励来训练 IS policy。  </t>
  </si>
  <si>
    <t>Learning to Look / DISaM 的重点不是一个单一机器人数据集，而是把 information-seeking（IS）和 instruction-reacting（IR）策略分开训练。仿真任务包括 Cooking、Walls、Assembly；真实任务用 PAL Tiago++。仿真里 IR agent 使用机器人手部/eye-in-hand 视觉和本体状态，IS agent 使用可移动/浮动相机；真实 Tiago++ 使用共享 head camera，Button 任务里 IS 还会用另一只手臂按显示器按钮。IR 策略通过 expert human demonstrations 做行为克隆，真实示范由 TeleMoMa 采集；IS 策略主要用 PPO/RL，真实任务采用 sim-real 混合训练。
论文给了评估 rollout 数，但没有公开每个任务的训练 demonstrations/trajectories 数量，所以训练数据规模需要明确写“论文未报告具体数量”。任务如下：
1. Cooking（仿真）：根据隐藏偏好/时间/服务区准备并上菜；训练示范数量论文未报告具体数量；评估 3 seeds × 50 rollouts = 150 rollouts/task/method。
2. Walls（仿真）：根据墙后/右侧隐藏信息选择并放置方块；训练示范数量论文未报告具体数量；评估 3 seeds × 50 rollouts = 150 rollouts/task/method。
3. Assembly（仿真）：从抽屉信息确定 screw/nut 并装配到 peg；训练示范数量论文未报告具体数量；评估 3 seeds × 50 rollouts = 150 rollouts/task/method。
4. Button（真实 Tiago++）：IS 按红色按钮打开显示器读取 recipe，IR 将正确水果放入 bowl；真实训练示范数量论文未报告具体数量；评估 1 seed × 10 rollouts/task/method。
5. Teatime（真实 Tiago++）：观察时间和桌边人物后选择饮品/摆放；真实训练示范数量论文未报告具体数量；评估 1 seed × 10 rollouts/task/method。
评估上仿真和真实分开统计：仿真每任务/方法 150 rollouts，真实每任务/方法 10 rollouts。这里的泛化点主要是能否主动观察隐藏上下文，而不是常规 unseen object 数据集。</t>
  </si>
  <si>
    <t>overall success；stage-wise success；uncertainty switching；simulation 多 seed rollouts；real-world rollouts。</t>
  </si>
  <si>
    <t>DISaM 在仿真和真实任务上优于 task-reward RL、随机视角和采样上下文等基线；长时程任务中能多次切换 seek/act。</t>
  </si>
  <si>
    <t>相对把主动感知和操作合在一个策略里学，DISaM 的改进是显式分工：一个策略负责把隐藏上下文找出来，另一个策略负责条件执行，从而降低长时程探索难度。</t>
  </si>
  <si>
    <t>DISaM 的问题在于它提出了清晰的策略分解，但这个分解依赖很强的结构假设。IS agent 没使用 observation history/memory，导致所有需要长期线索、运动模式或跨时间证据积累的信息搜索都会变得困难。方法要求 IS/IR action spaces 尽量少重叠，否则两个策略可能互相抵消，需要人为设计干净的动作边界。intrinsic reward 来自 IR policy 的 discrepancy，本质上会继承 IR policy 的偏差；如果 IR 本身学错了，IS 可能会被引导去寻找错误信息。Walls 等任务训练耗时，也说明长时程主动感知并没有被高效解决。论文展示了“学习去看”的价值，但还没有证明该分解能稳健扩展到非结构化、历史依赖强、动作耦合严重的真实机器人任务。</t>
  </si>
  <si>
    <t>1. 给 information-seeking policy 加入记忆机制，处理跨时间证据。
2. 处理“看”和“做”的动作耦合，尤其是移动机器人和双臂系统。
3. 在更长真实任务中验证训练成本和稳定性。</t>
  </si>
  <si>
    <t>与本地文献005 Open-TeleVision 形成机制层关系：005 提供可动视角和人类头动示范，009 解释何时应该主动寻找信息。</t>
  </si>
  <si>
    <t>OKAMI: Teaching Humanoid Robots Manipulation Skills through Single Video Imitation</t>
  </si>
  <si>
    <t>Jinhan Li, Yifeng Zhu, Yuqi Xie et al.</t>
  </si>
  <si>
    <t>https://doi.org/10.48550/arXiv.2410.11792</t>
  </si>
  <si>
    <t>从单个 RGB-D 人类视频教 humanoid 执行桌面操作，并用生成轨迹训练闭环策略。</t>
  </si>
  <si>
    <t>humanoid manipulation 的遥操作示范成本高；单视频 imitation 往往难以把人类动作、物体位置和 humanoid 高 DoF 约束统一起来。</t>
  </si>
  <si>
    <t xml:space="preserve">   用开放视觉模型识别任务物体并重建人体动作；进行 object-aware task-space warping 和 IK retargeting，将手臂和手指动作转成 humanoid 轨迹；筛选成功 rollout 训练 ACT 闭环策略。它先从视频里恢复人体运动和任务相关物体位置，形成 reference manipulation plan，再在测试环境里根据目标物体的新位置做 object-aware retargeting；视觉部分用 foundation models 自动找任务相关物体，减少人工标注或额外输入。论文还把 OKAMI 生成的成功 rollout 拿来训练闭环 visuomotor policy，并在真实 GR1 和 robosuite 任务中检查空间布局、视觉背景和新物体实例变化下的表现</t>
  </si>
  <si>
    <t>OKAMI 的贡献是把单个 RGB-D 人类视频转成 humanoid 可执行的操作轨迹。。</t>
  </si>
  <si>
    <t>OKAMI 用的是“单个人类视频示范 -&gt; 生成 humanoid 轨迹”的路线。真实机器人是 Fourier GR1 humanoid，双 6-DoF Inspire dexterous hands；感知用 Intel RealSense D435i RGB-D 相机，既录制人类示范，也提供测试时 RGB-D 观测。控制上，OKAMI 用 GPT-4V/大视觉模型解析视频，结合 SMPL-H/人体重建、object-aware task-space warping、IK 和 hand retargeting 生成机器人轨迹；机器人命令 40 Hz 计算，再插值到 400 Hz joint position controller。仿真部分用 robosuite 的 GR1FixedLowerBody；闭环策略实验用 ACT + DinoV2。
数据不是遥操作 demonstrations，而是每个任务 1 个 RGB-D 人类视频示范；部分成功的 OKAMI rollouts 再被拿来训练 ACT。任务和数量如下：
1. Plush-toy-in-basket：1 个 RGB-D 人类视频示范；真实机器人评估 12 trials，物体位置在相机视野/可达范围内随机。
2. Sprinkle-salt：1 个 RGB-D 人类视频示范；真实机器人评估 12 trials；robosuite 仿真评估 50 rollouts/task/method；闭环 ACT 训练使用 50 条成功 OKAMI trajectories。
3. Close-the-drawer：1 个 RGB-D 人类视频示范；真实机器人评估 12 trials；robosuite 仿真评估 50 rollouts/task/method。
4. Close-the-laptop：1 个 RGB-D 人类视频示范；真实机器人评估 12 trials；另做 3 个不同 demonstrators 的单视频示范实验。
5. Place-snacks-on-plate：1 个 RGB-D 人类视频示范；真实机器人评估 12 trials；另做 3 个不同 demonstrators 的单视频示范实验。
6. Bagging：1 个 RGB-D 人类视频示范；真实机器人评估 12 trials；闭环 ACT 训练使用 100 条成功 OKAMI trajectories。
泛化实验包括随机化真实任务物体位置，以及在 Place-snacks-on-plate、Plush-toy-in-basket、Sprinkle-salt 中更换 plate/snack bag/plush toy/bowl 等 unseen object instances。ACT 策略的训练轨迹数给得很清楚，但该策略实验单独的评估 rollout 数论文未报告具体数量。</t>
  </si>
  <si>
    <t>task success；grasp failure/completion failure；真实任务 12 trials；仿真 50 rollouts；50/100 生成轨迹训练后的 policy success。</t>
  </si>
  <si>
    <t>六个真实任务平均成功率 71.7%，明显优于 ORION；用 OKAMI rollout 训练闭环策略后平均约 79.2%，但仍依赖成功轨迹筛选。</t>
  </si>
  <si>
    <t>相对只跟踪物体轨迹的 imitation-from-observation，OKAMI 同时利用人类 body/hand motion 和任务物体位置；相对大量遥操作数据路线，它能从单个 RGB-D 示例启动 humanoid 技能生成。</t>
  </si>
  <si>
    <t>论文不能直接使用普通 Internet RGB 视频，这严重限制了“single video imitation”的规模化想象。当前任务是 tabletop upper-body manipulation，没有 whole-body controller，也没有处理移动、平衡、避障和大范围环境交互。retargeting 对大幅物体形状变化不鲁棒，说明它更多是在相似物体和相似桌面布局上做几何迁移。它展示了从单个 RGB-D 示例启动策略学习的潜力，但还没有证明能处理开放世界 humanoid imitation。</t>
  </si>
  <si>
    <t>1. 从 RGB-D 单视频扩展到普通 RGB 视频，这是利用互联网视频规模的关键。
2. 提高 retargeting 对物体形状和布局变化的鲁棒性。
3. 加入失败检测和轨迹筛选，避免错误 rollout 污染闭环策略。</t>
  </si>
  <si>
    <t>与本地文献007 EgoMimic 同属人类视频学习路线；010 偏单示例几何 retargeting，007 偏人机数据共训。与本地文献008 iDP3 的关系是：010 可生成数据，008 可作为后续 3D policy。</t>
  </si>
  <si>
    <t>单视频模仿能显著降低 humanoid 技能教学成本，但可靠性取决于物体感知、轨迹 warping 和 retargeting 的鲁棒性。</t>
  </si>
  <si>
    <t>待分配</t>
  </si>
  <si>
    <t>数据采集系统</t>
  </si>
  <si>
    <t>高</t>
  </si>
  <si>
    <t>Bimanual Dexterity for Complex Tasks</t>
  </si>
  <si>
    <t>Kenneth Shaw, Yulong Li, Jiahui Yang et al.</t>
  </si>
  <si>
    <t>CoRL 2024 / arXiv</t>
  </si>
  <si>
    <t>arXiv:2411.13677；https://bidex-teleop.github.io/</t>
  </si>
  <si>
    <t>双臂多指遥操作与模仿学习：用低成本、便携式 BiDex 系统采集复杂双手灵巧操作数据并训练闭环策略。</t>
  </si>
  <si>
    <t>Bimanual Teleoperation；Dexterous Hands；Behavior Cloning；ACT</t>
  </si>
  <si>
    <t>高质量双臂多指机器人示范很难采集；VR 头显腕部跟踪抖动、手指跟踪不准，SteamVR 依赖外部 lighthouse，难以支持移动和复杂双手任务。</t>
  </si>
  <si>
    <t>BiDex 将 Manus motion-capture 手套用于手指跟踪，并把 GELLO 式 teacher arms 用于双臂关节级遥操作；手指通过 fingertip/DIP IK retarget 到 LEAP Hand/LEAP Hand V2，采集的图像、手和臂关节数据用于训练 ACT 行为克隆策略。</t>
  </si>
  <si>
    <t>提出低成本、低延迟、便携的双臂多指遥操作系统；系统同时支持 tabletop 和移动双臂机器人；论文用 Vision Pro、SteamVR 对比数据采集质量，并证明 BiDex 数据可训练 44 维以上动作空间的闭环策略。</t>
  </si>
  <si>
    <t>BiDex 由 Manus Meta EMF 手套、轻量 teacher arms、双 xArm 机械臂、双 LEAP Hand / LEAP Hand V2、AgileX Ranger Mini 移动底盘和 3 路 workspace cameras 组成。遥操作评测分 tabletop 与 mobile 两组：tabletop 比较 handover、cup stacking、bottle pouring；mobile 比较 chair pushing、box carry、clear trash，Table 2 明确为每任务 20 trials。下游模仿学习用约 50 条 BiDex demonstrations 训练 ACT（30 Hz、horizon 16、44D action space），LEAP Hand 上报告 Can Handover 7/10、Cup Stacking 14/20、Bottle Pouring 16/20；LEAP Hand V2 继续测 Drill、Lift Pot、Bottle Pouring、Plate Pickup 各 20 trials。论文还提到 100 条 Pringles handover demonstrations 的泛化示例。</t>
  </si>
  <si>
    <t>teleoperation completion rate；completion time；ACT rollout success；用户研究成功率/完成时间；训练 wall-clock 和示范数量。</t>
  </si>
  <si>
    <t>Tabletop 中 BiDex 在 Handover/Bottle Pouring 达到 95%/85%，Vision Pro 为 60%/70%，SteamVR 为 80%/60%；移动任务 Chair Pushing/Box Carry/Clear Trash 为 95%/95%/75%，Vision Pro 为 75%/75%/50%。ACT 在 LEAP Hand 上 Can Handover 7/10、Cup Stacking 14/20、Bottle Pouring 16/20；LEAP Hand V2 上 Drill/Lift Pot/Bottle Pouring/Plate Pickup 为 15/20、15/20、15/20、13/20。</t>
  </si>
  <si>
    <t>相对 004 Bunny-VisionPro 和 005 Open-TeleVision 这类头显/视觉遥操作路线，BiDex 把腕部控制改成 teacher-arm 关节跟踪，明显减少抖动和延迟；相对 SteamVR，它不依赖外部 lighthouse，因此可以接到移动双臂平台。</t>
  </si>
  <si>
    <t>系统仍没有触觉反馈，操作者只能看视觉结果，不能感知接触力；机器人手和臂主要按运动学控制，精细力控和接触调节不足。低成本是相对高端 mocap 而言，手套和机器人总成本仍约数万美元。策略结果多为单任务 ACT，尚未证明大规模多任务泛化。</t>
  </si>
  <si>
    <t>1. 在 BiDex 中加入触觉/力反馈，解决精细接触任务中只能依赖视觉的问题。
2. 将 BiDex 数据与 DexHub/DART 或 EgoMimic 这类规模化数据路线结合，评估多任务策略的泛化。
3. 研究 teacher-arm 关节空间动作与视觉头部/主动感知信号的联合采集。</t>
  </si>
  <si>
    <t>与本地文献004 Bunny、005 Open-TeleVision、006 ACE 同属遥操作采集系统；011 更强调高 DoF 双臂多指和移动场景，005 更强调沉浸式主动视觉，006 更强调低成本跨平台视觉外骨骼。与002 DexCap 相比，011 是机器人遥操作而非自然人手 mocap。</t>
  </si>
  <si>
    <t>复杂双手灵巧操作的数据质量很大程度取决于遥操作接口本身；稳定、低延迟、可移动的双臂多指接口能直接提升示范效率和后续策略质量。</t>
  </si>
  <si>
    <t>6 Sim-to-Real and Data Collection</t>
  </si>
  <si>
    <t>需人工复核附录用户研究图中的精确曲线数值。</t>
  </si>
  <si>
    <t>DexHub and DART: Towards Internet Scale Robot Data Collection</t>
  </si>
  <si>
    <t>Younghyo Park, Jagdeep Singh Bhatia, Lars Ankile, Pulkit Agrawal</t>
  </si>
  <si>
    <t>arXiv</t>
  </si>
  <si>
    <t>arXiv:2411.02214；https://dexhub.ai/project</t>
  </si>
  <si>
    <t>面向互联网规模机器人数据采集：用 AR+云端仿真进行 dexterous teleoperation，并用 DexHub 统一存储机器人数据。</t>
  </si>
  <si>
    <t>Augmented Reality Teleoperation；Cloud Simulation；Robot Data Hub；Sim-to-Real Imitation Learning</t>
  </si>
  <si>
    <t>真实机器人数据采集受硬件、场景搭建、复位、远程视觉延迟和数据存储割裂限制，难以像互联网视觉/语言数据一样持续增长。</t>
  </si>
  <si>
    <t>DART 在 Apple Vision Pro 上渲染 MuJoCo 云端仿真中的机器人和场景，用 ARKit 手部关键点经 differential IK 控制机器人；一键复位和场景切换降低采集负担；数据自动进入 DexHub，支持通过 API 上传和下载机器人交互数据。</t>
  </si>
  <si>
    <t>提出面向 crowdsourcing 的 AR 仿真遥操作平台 DART；证明 AR 状态传输比视频流传输延迟和包大小更低；通过用户研究比较仿真和真实遥操作的吞吐、疲劳与可用性；提出 DexHub 作为云端机器人数据中心。</t>
  </si>
  <si>
    <t>DART 运行在 Apple Vision Pro + 云端 MuJoCo / DexHub 平台上，默认支持 Franka Research 3 或 UR5 双臂底座，以及 Robotiq 2F-85、Panda Hand、Allegro Hand、Unitree G1、ALOHA 等模型；系统传输的是 simulator state，而不是整帧视频。用户研究招募 9 名无机器人经验参与者，每人在不同界面下用 7 分钟整理 10 个 bolts / nuts；Table III 中 DART 平均吞吐 7.8 parts/min，比较了 hand tracking、stereo / mono rendering、active / fixed viewpoint。另有 20 名参与者、4 个双臂任务的真实遥操作对照；策略实验则比较用 50 分钟 real-world data 与 50 分钟 DART data 训练出的策略，在 camera pose、lighting、visual distractor 等扰动下的泛化。</t>
  </si>
  <si>
    <t>数据采集 throughput；用户疲劳/可用性问卷；网络 packet size 和 latency；real-world policy success；视觉扰动下成功率。</t>
  </si>
  <si>
    <t>DART 用户研究显示数据采集吞吐约为真实遥操作的 2.1 倍，且物理/认知疲劳更低；AR 状态传输使 robot-to-human packet size 相比 stereo RGB 流约小 1000 倍。策略实验中，DART 数据训练的策略能零样本迁移到真实环境，在 lighting/camera pose/visual distractor 等扰动下通常比真实数据策略更稳；表 IV 中两个任务的扰动成功率最高达到 65% 和 40%。</t>
  </si>
  <si>
    <t>相对真实机器人遥操作，DART 把采集主体移入可复位、可并行、可随机化的仿真环境；相对传统远程仿真视频流，它传输结构化仿真状态并本地 AR 渲染，降低延迟；相对单项目数据集，DexHub 试图把数据记录和共享做成持续增长的平台。</t>
  </si>
  <si>
    <t>DART 依赖仿真物理和资产质量，切洋葱、软体、复杂液体/接触等当前物理引擎难以模拟的任务不能直接采集；仿真导入和场景建模仍是门槛；论文证明的是若干任务上的 sim-to-real，有效性不等于所有 manipulation 都可由仿真数据替代。</t>
  </si>
  <si>
    <t>1. 将真实数据和 DART 仿真数据在 DexHub 中联合训练，系统评估二者互补性。
2. 改进 deformable、工具和接触丰富任务的仿真建模。
3. 研究数据贡献激励、质量控制和跨机器人 action/observation 标准化。</t>
  </si>
  <si>
    <t>与015 ARMADA 同属“无实体机器人/少实体机器人”的 AR 数据采集路线；012 更偏云端仿真和数据平台，015 更偏真实环境中用虚拟机器人反馈收集可回放轨迹。与011 BiDex 和004-006 遥操作系统构成真实采集与仿真采集的对照。</t>
  </si>
  <si>
    <t>机器人数据规模化不只取决于遥操作硬件，还取决于场景复位、数据存储、仿真随机化和社区化共享基础设施。</t>
  </si>
  <si>
    <t>需人工复核表 III 中各用户研究问卷分项的完整数值。</t>
  </si>
  <si>
    <t>主动感知/遥操作</t>
  </si>
  <si>
    <t>Learning to Look Around: Enhancing Teleoperation and Learning with a Human-like Actuated Neck</t>
  </si>
  <si>
    <t>Bipasha Sen, Michelle Wang, Nandini Thakur, Aditya Agarwal, Pulkit Agrawal</t>
  </si>
  <si>
    <t>arXiv:2411.00704</t>
  </si>
  <si>
    <t>带 5-DOF 类人主动颈部的移动操作遥操作和模仿学习，关注动态视角、遮挡处理和全身任务。</t>
  </si>
  <si>
    <t>Active Perception；Teleoperation；Imitation Learning；Actuated Neck；Whole-body Manipulation</t>
  </si>
  <si>
    <t>固定广角相机或静态机载视角在复杂家庭操作中难以处理遮挡、近身物体和高低位置变化；遥操作和策略学习都需要“看哪里”的自由度。</t>
  </si>
  <si>
    <t>在移动双臂机器人上加入 5-DOF actuated neck，将操作者头部姿态同步映射到机器人头部相机；用颈部相机、腕部相机和本体状态训练 ACT，比较主动颈部策略与静态 160 度广角相机策略。</t>
  </si>
  <si>
    <t>提出把类人 5-DOF 主动颈部纳入远程遥操作系统；展示七类全身操作任务中的动态视角价值；进一步证明主动颈部不仅能复制操作者视角，还能作为策略动作输出提升模仿学习成功率。</t>
  </si>
  <si>
    <t>系统是移动双臂平台：5-DoF actuated neck、双 UR5e arms、右侧 Psyonic dexterous hand、左侧 parallel-jaw gripper、Panther mobile base，感知端为 neck / torso / 双 wrist 共 4 路 Intel RealSense D405 RGB cameras；遥操作端用 Manus VR glove 和 Apple Vision Pro。遥操作展示含 dishwasher loading、hang sweatshirt、fill cup、set dinner table、make coffee、open fridge and transfer items、throw trash 共 7 个 whole-body tasks。自主学习部分把右臂与 neck 一起学，任务为 L2R、CRange、CfB 三类，论文写明每任务 120 demonstrations，并比较 actuated neck 与 static wide-angle camera 的成功率。</t>
  </si>
  <si>
    <t>teleoperation task success/qualitative completion；ACT policy success rate；actuated neck vs static wide-angle camera；每任务 15 trials。</t>
  </si>
  <si>
    <t>主动颈部策略在 CfB/L2Rmod/CRange 上分别达到 95%/90%/82%，静态广角相机为 0%/78%/68%；CfB 中静态相机无法向下调整视角导致完全失败。论文还展示了 dishwasher、hanger、faucet、dinner table、coffee、fridge、trash 等七类遥操作任务，但未给出逐任务定量成功率。</t>
  </si>
  <si>
    <t>相对只关注手臂/手的遥操作采集工作，013 把头部视角作为可控自由度和策略动作的一部分；相对009 Learning to Look 的决策分解，013 给出真实移动操作平台上的类人颈部硬件与模仿学习证据。</t>
  </si>
  <si>
    <t>遥操作部分主要是定性展示，七个复杂任务未报告完整成功率或操作者数量；策略学习只控制右臂和颈部、左臂固定，且任务数为三个；主动颈部增加硬件复杂度和动作维度，是否适合更长时程多任务策略仍待验证。</t>
  </si>
  <si>
    <t>1. 将主动颈部与双臂多指数据采集系统结合，记录 gaze/neck 与手部动作的耦合。
2. 扩展到更多长时程家庭任务，评估主动感知是否能稳定提升多任务策略。
3. 研究主动颈部和视觉注意/信息增益目标的联合训练。</t>
  </si>
  <si>
    <t>与本地文献005 Open-TeleVision、009 DISaM 同属主动视觉/看哪里主线；005 强调操作者沉浸式反馈，009 强调策略层面的 look-act 分解，013 则从机器人硬件上增加可学习的颈部视角。</t>
  </si>
  <si>
    <t>对 humanoid/mobile manipulation 来说，感知自由度不是附属模块，而会直接改变遥操作可行性和模仿学习的状态分布。</t>
  </si>
  <si>
    <t>3 Learning-based Control</t>
  </si>
  <si>
    <t>正文未报告七个遥操作任务的逐项定量结果，表中不据视频补写额外数字。</t>
  </si>
  <si>
    <t>模仿学习</t>
  </si>
  <si>
    <t>Object-Centric Dexterous Manipulation from Human Motion Data</t>
  </si>
  <si>
    <t>Yuanpei Chen, Chen Wang, Yaodong Yang, C. Karen Liu</t>
  </si>
  <si>
    <t>arXiv:2411.04005；https://cypypccpy.github.io/obj-dex.github.io/</t>
  </si>
  <si>
    <t>从人类手-物 mocap 数据学习物体中心灵巧操作策略，并迁移到双臂 Shadow Hand 真实系统。</t>
  </si>
  <si>
    <t>Object-centric Imitation；Hierarchical Policy；Dexterous RL；Human Motion Data；Sim-to-Real</t>
  </si>
  <si>
    <t>人手动作蕴含丰富操作技能，但直接把人手手指轨迹 retarget 到机器人手会受到 embodiment gap 影响；同时纯 RL 同时学习手臂和多指动作探索成本很高。</t>
  </si>
  <si>
    <t>先用 ARCTIC 人手-物体 mocap 训练高层 wrist trajectory generative model，根据目标物体轨迹生成双手腕运动；再用低层 RL 训练符合机器人 embodiment 的手指控制器；通过 data augmentation loop 增强物体几何和目标轨迹泛化。</t>
  </si>
  <si>
    <t>提出以物体目标状态而非人手关节为核心的人到机器人灵巧操作框架；把人类腕部运动作为高层引导，用 RL 处理机器人手的接触和 embodiment；在 10 个对象、未见轨迹/几何和真实双手系统上验证。</t>
  </si>
  <si>
    <t>训练数据来自 ARCTIC：10 个 articulated objects、每对象 20 段 hand-object mocap、总计 51 小时；论文将其中 9 个对象各 16 段用于训练，其余对象和轨迹留作泛化测试。策略在仿真和真实系统中都使用双 UR10e + 双 Shadow Hands；真实环境由 4 个 top-down cameras 做 articulated-object pose estimation，跟踪频率 15 Hz。实验包括高层 planner、单对象 policy、跨对象/跨轨迹泛化与真实部署，所有仿真设置各跑 10 个 seeds，真实任务各做 20 trials；任务覆盖 box、microwave、laptop、coffee maker、mixer、notebook 等 articulated manipulation。</t>
  </si>
  <si>
    <t>wrist trajectory translation/orientation error；completion rate；unseen trajectory/object generalization；real-world completion rate。</t>
  </si>
  <si>
    <t>高层 planner 在 trained/unseen trajectory/unseen object 条件下均低于 MLP/RNN 的累计误差；单对象策略中 Ours 在 Box/Microwave/Laptop 等达到 100% 或接近 100%，传统 finger/fingertip mapping 多数低于 40%。泛化表中 Ours 在 Single Obj-Trained/Unseen Traj、Multi Obj-Trained/Unseen Obj 为 83.8%/57.1%/47.6%/36.4%。真实实验中 Box/Microwave/Laptop/Coffee/Mixer/Notebook 为 69.8%/100%/76.7%/74.8%/82.8%/64.3%，明显高于 mapping 和 vanilla RL。</t>
  </si>
  <si>
    <t>相对 DexCap/OKAMI 中常见的直接 IK retargeting，014 不把人手手指轨迹直接当机器人动作，而是使用物体中心目标和人类腕部运动引导低层 RL，从而更正面地处理 embodiment gap。</t>
  </si>
  <si>
    <t>小物体如 scissors、ketchup 表现较弱；没有使用 ARCTIC 中的触觉信息；真实初始位姿与目标轨迹差异过大时会失败；手遮挡会造成真实物体姿态估计错误；关节顺序需要预定义，跨类别泛化受 ARCTIC 对象数限制。</t>
  </si>
  <si>
    <t>1. 将触觉/接触图加入低层 RL，补足小物体和精细接触能力。
2. 用更大规模 3D 物体和人类 mocap 数据测试跨类别泛化。
3. 与 OKAMI 的单视频物体轨迹、DexCap 的实时 mocap 数据结合，形成 object-centric retargeting 数据管线。</t>
  </si>
  <si>
    <t>与002 DexCap 和010 OKAMI 都面对 human-to-robot retargeting；014 的关键区别是把物体轨迹和机器人自身 RL 作为中介，而不是追求人手关节/指尖一一匹配。它也呼应001 Schaal 关于动作-知觉映射和 embodiment gap 的早期问题。</t>
  </si>
  <si>
    <t>物体中心表征能把“模仿人手动作”转化为“达成物体状态变化”，是缓解人手到机器人手形态差异的一条重要路线。</t>
  </si>
  <si>
    <t>4 Imitation Learning and Learning from Demonstration</t>
  </si>
  <si>
    <t>小物体实验和附录中的额外 goal representation/time-indexed 实验可再精读。</t>
  </si>
  <si>
    <t>ARMADA: Augmented Reality for Robot Manipulation and Robot-Free Data Acquisition</t>
  </si>
  <si>
    <t>Nataliya Nechyporenko, Ryan Hoque, Christopher Webb, Mouli Sivapurapu, Jian Zhang</t>
  </si>
  <si>
    <t>arXiv / Apple ML Research</t>
  </si>
  <si>
    <t>arXiv:2412.10631；https://nataliya.dev/armada</t>
  </si>
  <si>
    <t>用 Apple Vision Pro 中的实时虚拟机器人反馈收集不依赖实体机器人在场的操作示范，并直接回放到真实双臂机器人。</t>
  </si>
  <si>
    <t>Augmented Reality；Robot-free Data Acquisition；Human Demonstration；Trajectory Replay</t>
  </si>
  <si>
    <t>没有机器人硬件的人很难提供可用于机器人模仿学习的数据；裸手人类动作如果没有机器人 embodiment 反馈，常会超出机器人工作空间、速度或 IK 约束，导致不能直接回放。</t>
  </si>
  <si>
    <t>ARMADA 在 Vision Pro passthrough 中叠加虚拟机器人，让用户边做裸手动作边实时看到机器人如何执行，并可显示奇异、速度、工作空间等约束；系统记录机器人关节轨迹，再在真实 Interbotix 双臂硬件上直接回放。</t>
  </si>
  <si>
    <t>提出面向 robot-free data acquisition 的 AR 应用；用实时虚拟机器人反馈缩小人手动作和机器人动作之间的可行性差距；通过 15 人用户研究量化反馈条件对直接回放成功率的影响。</t>
  </si>
  <si>
    <t>采集端是 Apple Vision Pro / visionOS 2.0 + ARKit wrist / finger tracking，软件闭环约 30 Hz；执行端为双 Interbotix ViperX 300S 6-DoF arms，各配 1-DoF pinch gripper。用户研究招募 15 人（25-64 岁），任务为 Pick Tissue、Declutter、Bimanual Wipe；每个任务有 5 个 distinct initial states，每位参与者依次在 No Feedback、Feedback、Post Feedback 三种条件下各做 5 次，因此每人 45 demonstrations、总计 675 trajectories。采集结束后，全部 45 条轨迹都在真实机器人上逐一 replay，论文按每任务/每条件的 5 次试验统计 replay success。</t>
  </si>
  <si>
    <t>direct trajectory replay success rate；7-point Likert 可理解性/有用性；失败模式分析。</t>
  </si>
  <si>
    <t>Feedback 条件的直接回放成功率为 Pick Tissue 78.7%、Declutter 48.0%、Bimanual Wipe 86.7%；No Feedback 仅 2.7%、0%、1.3%；Post Feedback 为 37.3%、16.0%、46.7%。用户认为机器人可视化直观易懂 6.4±0.6/7，对理解机器人运动有用 6.0±1.2/7。</t>
  </si>
  <si>
    <t>相对纯裸手视频/动作采集，ARMADA 在采集时显式暴露机器人 embodiment 和约束；相对实体机器人遥操作，它不要求用户拥有机器人硬件，降低了采集入口。</t>
  </si>
  <si>
    <t>结果基于直接轨迹回放而非训练闭环策略；使用的是 1-DOF pinch gripper，不是高维灵巧手；Declutter 成功率仍只有 48.0%，说明深度判断和轨迹精度仍是瓶颈；系统仍依赖 Vision Pro、仿真模型和 IK，软体/高接触任务未验证。</t>
  </si>
  <si>
    <t>1. 将 ARMADA 轨迹用于训练闭环策略，而不只做 open-loop replay。
2. 扩展到多指手或不同机器人 embodiment，评估虚拟反馈是否仍能保证数据质量。
3. 与 DexHub/DART 结合，把 robot-free AR 轨迹纳入统一数据平台。</t>
  </si>
  <si>
    <t>与012 DART 同属 AR 辅助规模化采集；012 在云端仿真中完成任务并训练 sim-to-real 策略，015 在真实环境 passthrough 中叠加虚拟机器人并验证真实硬件回放。与011 BiDex 形成“有实体机器人遥操作”与“无实体机器人采集”的对照。</t>
  </si>
  <si>
    <t>AR 中的机器人反馈可以把普通人类动作变成更接近机器人可执行空间的数据，是降低机器人数据采集硬件门槛的重要方向。</t>
  </si>
  <si>
    <t>未报告闭环策略训练结果；复杂接触/多指任务缺失。</t>
  </si>
  <si>
    <t>人机交互/仿真数据</t>
  </si>
  <si>
    <t>MobileH2R: Learning Generalizable Human to Mobile Robot Handover Exclusively from Scalable and Diverse Synthetic Data</t>
  </si>
  <si>
    <t>Zifan Wang, Ziqing Chen, Junyu Chen et al.</t>
  </si>
  <si>
    <t>CVPR 2025 / arXiv</t>
  </si>
  <si>
    <t>arXiv:2501.04595；https://MobileH2R.github.io/</t>
  </si>
  <si>
    <t>人到移动机器人递交 H2MR：只用大规模合成数据学习视觉闭环、底盘-机械臂协调的接物策略。</t>
  </si>
  <si>
    <t>Synthetic Data；Human-Robot Handover；Mobile Manipulation；4D Imitation Learning；Sim-to-Real</t>
  </si>
  <si>
    <t>传统 H2R handover 多为固定基座或真实数据采集，移动机器人需要在大范围内理解全身人类动作并协调底盘和机械臂，真实训练既危险又难规模化。</t>
  </si>
  <si>
    <t>MobileH2R-Sim 生成多样全身人类 handover 动作和对象场景；自动规划安全且 imitation-friendly 的示范，避免人体碰撞和盲区；用 4D point cloud imitation policy 输入人、手、物体和时间流信息，输出移动底盘和 7-DOF 机械臂协同动作。</t>
  </si>
  <si>
    <t>提出 H2MR handover 的合成数据生成、示范规划和 4D 模仿学习完整框架；构造超过 100K interactive handover scenes；证明不依赖真实机器人示范也能迁移到 Galbot G1 真实移动机器人。</t>
  </si>
  <si>
    <t>仿真平台为 MobileH2R-Sim，管线结合大规模全身人类动作合成、自动安全 handover demonstration 生成和 visuomotor policy distillation。对象资产来自 ShapeNet 8,836 objects；m0、n0 两个设置各含 100k training scenes 与 1k testing scenes，DexYCB / HandoverSim 的 s0 设置含 720 train、144 test。真实平台为 Galbot G1：3-DoF omnidirectional base、7-DoF arm、head depth camera、wrist depth camera，使用 SAM2 分割点云。真实实验用 6 个 objects、2 个 settings，每项 30 trials；该论文真正的规模优势来自 &gt;100k synthetic interactive demonstrations，而不是少量真实样本。</t>
  </si>
  <si>
    <t>success rate；time；AS average success；human contact/collision；sim-to-real success；消融成功率。</t>
  </si>
  <si>
    <t>仿真中 Ours 在 m0/n0/s0 成功率为 63.8%/53.4%/77.78%，高于 GenH2R(reprod.) 的 46.8%/32.9%/61.11%。100k 示范比 10k 平均提升 3.3%，1k 比 10k 平均下降 13.9%。无 imitation-friendly loss 成功率平均下降 11.6%。真实实验中 Ours 在 m0/n0 为 24/30(80.0%)、19/30(63.3%)，GenH2R(reprod.) 为 12/30(40.0%)、9/30(30.0%)。</t>
  </si>
  <si>
    <t>相对固定基座 GenH2R，016 明确建模移动底盘、全身人类点云和底盘-机械臂协同；相对真实 HRI 数据采集，它完全用合成数据和自动示范规避真实人机交互的安全和成本问题。</t>
  </si>
  <si>
    <t>作者在 limitations 中把边界写得很具体：当前方法建立在 Galbot 的全向底盘 + 7-DoF 单臂形态上，换到双足 humanoid 或其他平台时需要重新定制网络与训练设计；真实部署还会遇到 SAM2 分割错误、深度相机感知不准等异常，纯合成训练并未真正消除 sim-to-real gap。按更严格标准看，016 证明的是一条可扩展的 handover 数据生成管线，而不是一般移动操作已经可由合成数据单独解决；其证据仍集中在递交任务，且真实对象、场景和失败恢复覆盖都有限。</t>
  </si>
  <si>
    <t>1. 扩展到双臂、双向交接和更长时程人机协作。
2. 引入真实少量数据或在线校正，减少合成到真实的人类行为分布差异。
3. 将安全示范生成思想迁移到 humanoid whole-body manipulation。</t>
  </si>
  <si>
    <t>与012 DART、015 ARMADA 同属用仿真/AR 降低真实数据依赖；016 更强调 HRI 安全和移动底盘-机械臂协同。与017 p-SSA 在安全主题上互补：016 通过示范规划避免人体碰撞，017 通过在线安全过滤处理约束冲突。</t>
  </si>
  <si>
    <t>对于涉及人的移动操作，规模化学习需要同时解决数据多样性、示范安全性和视觉-动作可模仿性，而不只是堆叠轨迹数量。</t>
  </si>
  <si>
    <t>作者列表已压缩为 et al.；真实实验补充细节可复核。</t>
  </si>
  <si>
    <t>研究阶段/主线</t>
  </si>
  <si>
    <t>代表文献编号</t>
  </si>
  <si>
    <t>核心问题</t>
  </si>
  <si>
    <t>代表方法</t>
  </si>
  <si>
    <t>解决了什么</t>
  </si>
  <si>
    <t>仍存在的问题</t>
  </si>
  <si>
    <t>引出的后续方向</t>
  </si>
  <si>
    <t>可写入综述的过渡句</t>
  </si>
  <si>
    <t>传统模型控制</t>
  </si>
  <si>
    <t>[1]-[3]</t>
  </si>
  <si>
    <t>稳定行走与全身协调控制</t>
  </si>
  <si>
    <t>ZMP / MPC / WBC</t>
  </si>
  <si>
    <t>提供可解释、可约束的控制框架</t>
  </si>
  <si>
    <t>依赖精确模型，复杂环境适应性不足</t>
  </si>
  <si>
    <t>Online RL / Learning-based Control</t>
  </si>
  <si>
    <t>由于模型误差和接触不确定性限制了传统控制在复杂场景中的表现，学习型方法逐渐被引入。</t>
  </si>
  <si>
    <t>在线强化学习</t>
  </si>
  <si>
    <t>[4]-[8]</t>
  </si>
  <si>
    <t>复杂动力学下的自适应控制</t>
  </si>
  <si>
    <t>PPO / SAC / Actor-Critic</t>
  </si>
  <si>
    <t>通过交互学习反馈 policy，提升复杂地形适应性</t>
  </si>
  <si>
    <t>样本需求大，sim-to-real 仍困难</t>
  </si>
  <si>
    <t>Domain Randomization / Adaptation</t>
  </si>
  <si>
    <t>为缩小仿真与真实系统之间的差距，后续研究进一步引入随机化和自适应机制。</t>
  </si>
  <si>
    <t>Sim-to-Real</t>
  </si>
  <si>
    <t>[9]-[12]</t>
  </si>
  <si>
    <t>仿真策略真实部署失效</t>
  </si>
  <si>
    <t>Domain Randomization / RMA / System ID</t>
  </si>
  <si>
    <t>增强策略对动力学参数变化的鲁棒性</t>
  </si>
  <si>
    <t>随机范围难设定，极端分布仍可能失效</t>
  </si>
  <si>
    <t>Offline RL / Imitation Learning</t>
  </si>
  <si>
    <t>在降低真实交互成本的需求下，基于离线数据或示范数据的学习方法受到关注。</t>
  </si>
  <si>
    <t>离线强化学习</t>
  </si>
  <si>
    <t>[13]-[16]</t>
  </si>
  <si>
    <t>避免昂贵或危险的在线试错</t>
  </si>
  <si>
    <t>CQL / IQL / Conservative RL</t>
  </si>
  <si>
    <t>从静态数据学习控制 policy</t>
  </si>
  <si>
    <t>分布偏移与 Bellman backup 误差仍存在</t>
  </si>
  <si>
    <t>Sequence Modeling</t>
  </si>
  <si>
    <t>为减少价值估计带来的不稳定性，序列建模方法将控制问题重新表述为条件预测问题。</t>
  </si>
  <si>
    <t>序列建模</t>
  </si>
  <si>
    <t>[17]-[20]</t>
  </si>
  <si>
    <t>利用历史上下文进行动作生成</t>
  </si>
  <si>
    <t>Decision Transformer / Return-conditioned Transformer</t>
  </si>
  <si>
    <t>避免显式 TD bootstrapping，增强长时序建模</t>
  </si>
  <si>
    <t>对数据质量和轨迹覆盖度敏感</t>
  </si>
  <si>
    <t>Topology-aware / Embodiment-aware Policy</t>
  </si>
  <si>
    <t>普通序列模型忽略了机器人身体拓扑，因此需要引入结构先验。</t>
  </si>
  <si>
    <t>结构/拓扑建模</t>
  </si>
  <si>
    <t>[21]-[24]</t>
  </si>
  <si>
    <t>普通网络忽略机器人 embodiment prior</t>
  </si>
  <si>
    <t>GNN / Body Transformer / Topology-aware Attention</t>
  </si>
  <si>
    <t>显式建模关节连接与肢体依赖关系</t>
  </si>
  <si>
    <t>拓扑泛化和高效时序建模仍需加强</t>
  </si>
  <si>
    <t>Mamba / Graph-SSM / Hybrid Framework</t>
  </si>
  <si>
    <t>未来方法可进一步融合拓扑结构建模与高效长序列建模。</t>
  </si>
  <si>
    <t>模仿学习基础框架</t>
  </si>
  <si>
    <t>高自由度机器人控制中的探索空间爆炸与人工编程依赖</t>
  </si>
  <si>
    <t>Learning from Demonstration / Movement Primitives / Forward Model</t>
  </si>
  <si>
    <t>用示范约束探索范围，并用运动基元和任务级表示降低控制维度</t>
  </si>
  <si>
    <t>知觉表征、运动表征、任务目标理解和跨 embodiment 映射仍未统一解决</t>
  </si>
  <si>
    <t>DMP、GAIL、Diffusion Policy、human mocap to humanoid control、world model-based imitation</t>
  </si>
  <si>
    <t>在高自由度机器人中，模仿学习首先被视为降低探索复杂度的途径，随后发展出围绕运动基元、知觉-动作耦合和示范后自我改进的研究主线。</t>
  </si>
  <si>
    <t>字段</t>
  </si>
  <si>
    <t>填写要求</t>
  </si>
  <si>
    <t>示例</t>
  </si>
  <si>
    <t>注意事项</t>
  </si>
  <si>
    <t>用于协作进度管理</t>
  </si>
  <si>
    <t>未开始 / 调研中 / 待复核 / 已完成</t>
  </si>
  <si>
    <t>统一用下拉框，不要手动写其他状态</t>
  </si>
  <si>
    <t>填写负责该论文的同学姓名</t>
  </si>
  <si>
    <t>张三</t>
  </si>
  <si>
    <t>同一篇论文只保留一个主负责人</t>
  </si>
  <si>
    <t>标注论文所属研究方向</t>
  </si>
  <si>
    <t>可按综述章节或方法路线划分</t>
  </si>
  <si>
    <t>填写论文完整题目</t>
  </si>
  <si>
    <t>Body Transformer: Leveraging Robot Embodiment for Policy Learning</t>
  </si>
  <si>
    <t>不要只写缩写</t>
  </si>
  <si>
    <t>填写可追溯来源</t>
  </si>
  <si>
    <t>https://arxiv.org/abs/xxxx.xxxxx</t>
  </si>
  <si>
    <t>优先 DOI，其次 arXiv 或项目主页</t>
  </si>
  <si>
    <t>用一句话说明论文为什么要做</t>
  </si>
  <si>
    <t>普通 policy 难以利用机器人身体拓扑结构</t>
  </si>
  <si>
    <t>不要写成方法介绍</t>
  </si>
  <si>
    <t>概括算法框架或技术路线</t>
  </si>
  <si>
    <t>Graph-based attention over robot joints</t>
  </si>
  <si>
    <t>尽量用自己的话总结</t>
  </si>
  <si>
    <t>列出最重要的 1-3 个贡献</t>
  </si>
  <si>
    <t>提出 topology-aware policy representation</t>
  </si>
  <si>
    <t>不要照抄 abstract</t>
  </si>
  <si>
    <t>明确它相对已有工作的提升</t>
  </si>
  <si>
    <t>相比普通 Transformer，显式加入关节连接关系</t>
  </si>
  <si>
    <t>这是体现综述逻辑的关键列</t>
  </si>
  <si>
    <t>写作者未解决或实验不足之处</t>
  </si>
  <si>
    <t>跨形态泛化仍有限</t>
  </si>
  <si>
    <t>不要只写“无”</t>
  </si>
  <si>
    <t>说明这篇论文如何引出下一类方法</t>
  </si>
  <si>
    <t>引出 topology-aware sequence modeling</t>
  </si>
  <si>
    <t>帮助你最后写研究趋势</t>
  </si>
  <si>
    <t>选择逻辑标签</t>
  </si>
  <si>
    <t>基础方法 / 方法改进 / 范式转移</t>
  </si>
  <si>
    <t>必须和综述主线对应</t>
  </si>
  <si>
    <t>写成可直接改写进正文的观点句</t>
  </si>
  <si>
    <t>Embodiment prior 有助于提升机器人 policy 的结构泛化能力</t>
  </si>
  <si>
    <t>后续统一撰写时最有用</t>
  </si>
  <si>
    <t>逻辑关系</t>
  </si>
  <si>
    <t>未开始</t>
  </si>
  <si>
    <t>传统控制</t>
  </si>
  <si>
    <t>Model-based</t>
  </si>
  <si>
    <t>基础方法</t>
  </si>
  <si>
    <t>1 Introduction</t>
  </si>
  <si>
    <t>调研中</t>
  </si>
  <si>
    <t>强化学习</t>
  </si>
  <si>
    <t>MPC/WBC/ZMP</t>
  </si>
  <si>
    <t>问题暴露</t>
  </si>
  <si>
    <t>2 Model-based Control</t>
  </si>
  <si>
    <t>Online RL</t>
  </si>
  <si>
    <t>方法改进</t>
  </si>
  <si>
    <t>低</t>
  </si>
  <si>
    <t>已完成</t>
  </si>
  <si>
    <t>Imitation Learning</t>
  </si>
  <si>
    <t>局限延续</t>
  </si>
  <si>
    <t>4 Sim-to-Real</t>
  </si>
  <si>
    <t>需补充</t>
  </si>
  <si>
    <t>Offline RL</t>
  </si>
  <si>
    <t>范式转移</t>
  </si>
  <si>
    <t>5 Offline RL</t>
  </si>
  <si>
    <t>Conservative Offline RL</t>
  </si>
  <si>
    <t>机制补充</t>
  </si>
  <si>
    <t>6 Sequence Modeling</t>
  </si>
  <si>
    <t>效率优化</t>
  </si>
  <si>
    <t>7 Topology-aware Learning</t>
  </si>
  <si>
    <t>综述/趋势</t>
  </si>
  <si>
    <t>Transformer</t>
  </si>
  <si>
    <t>综合框架</t>
  </si>
  <si>
    <t>8 Challenges and Future Directions</t>
  </si>
  <si>
    <t>Mamba/SSM</t>
  </si>
  <si>
    <t>对比基线</t>
  </si>
  <si>
    <t>GNN/Graph</t>
  </si>
  <si>
    <t>Topology-aware</t>
  </si>
  <si>
    <t>Hybrid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</si>
</sst>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name val="Carlito"/>
      <charset val="134"/>
    </font>
    <font>
      <b/>
      <sz val="11"/>
      <color rgb="FFFFFFFF"/>
      <name val="Carlito"/>
      <charset val="134"/>
    </font>
    <font>
      <sz val="11"/>
      <color theme="1"/>
      <name val="Noto Serif CJK SC"/>
      <charset val="134"/>
    </font>
    <font>
      <sz val="11"/>
      <color theme="1"/>
      <name val="Carlito"/>
      <charset val="134"/>
    </font>
    <font>
      <b/>
      <sz val="11"/>
      <color rgb="FFFFFFFF"/>
      <name val="Noto Serif CJK SC"/>
      <charset val="134"/>
    </font>
    <font>
      <b/>
      <sz val="11"/>
      <color theme="1"/>
      <name val="Noto Serif CJK SC"/>
      <charset val="134"/>
    </font>
    <font>
      <u/>
      <sz val="11"/>
      <color rgb="FF800080"/>
      <name val="Calibri"/>
      <charset val="0"/>
      <scheme val="minor"/>
    </font>
    <font>
      <b/>
      <sz val="11"/>
      <color theme="1"/>
      <name val="Carlito"/>
      <charset val="134"/>
    </font>
    <font>
      <u/>
      <sz val="11"/>
      <color rgb="FF0000FF"/>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334155"/>
        <bgColor indexed="64"/>
      </patternFill>
    </fill>
    <fill>
      <patternFill patternType="solid">
        <fgColor rgb="FF7C2D12"/>
        <bgColor indexed="64"/>
      </patternFill>
    </fill>
    <fill>
      <patternFill patternType="solid">
        <fgColor rgb="FF065F46"/>
        <bgColor indexed="64"/>
      </patternFill>
    </fill>
    <fill>
      <patternFill patternType="solid">
        <fgColor rgb="FF1E3A8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9" fillId="0" borderId="0">
      <alignment vertical="center"/>
    </xf>
    <xf numFmtId="44" fontId="9" fillId="0" borderId="0">
      <alignment vertical="center"/>
    </xf>
    <xf numFmtId="9" fontId="9" fillId="0" borderId="0">
      <alignment vertical="center"/>
    </xf>
    <xf numFmtId="41" fontId="9" fillId="0" borderId="0">
      <alignment vertical="center"/>
    </xf>
    <xf numFmtId="42" fontId="9" fillId="0" borderId="0">
      <alignment vertical="center"/>
    </xf>
    <xf numFmtId="0" fontId="8" fillId="0" borderId="0">
      <alignment vertical="center"/>
    </xf>
    <xf numFmtId="0" fontId="6" fillId="0" borderId="0">
      <alignment vertical="center"/>
    </xf>
    <xf numFmtId="0" fontId="9" fillId="6" borderId="1">
      <alignment vertical="center"/>
    </xf>
    <xf numFmtId="0" fontId="10" fillId="0" borderId="0">
      <alignment vertical="center"/>
    </xf>
    <xf numFmtId="0" fontId="11" fillId="0" borderId="0">
      <alignment vertical="center"/>
    </xf>
    <xf numFmtId="0" fontId="12" fillId="0" borderId="0">
      <alignment vertical="center"/>
    </xf>
    <xf numFmtId="0" fontId="13" fillId="0" borderId="2">
      <alignment vertical="center"/>
    </xf>
    <xf numFmtId="0" fontId="14" fillId="0" borderId="2">
      <alignment vertical="center"/>
    </xf>
    <xf numFmtId="0" fontId="15" fillId="0" borderId="3">
      <alignment vertical="center"/>
    </xf>
    <xf numFmtId="0" fontId="15" fillId="0" borderId="0">
      <alignment vertical="center"/>
    </xf>
    <xf numFmtId="0" fontId="16" fillId="7" borderId="4">
      <alignment vertical="center"/>
    </xf>
    <xf numFmtId="0" fontId="17" fillId="8" borderId="5">
      <alignment vertical="center"/>
    </xf>
    <xf numFmtId="0" fontId="18" fillId="8" borderId="4">
      <alignment vertical="center"/>
    </xf>
    <xf numFmtId="0" fontId="19" fillId="9" borderId="6">
      <alignment vertical="center"/>
    </xf>
    <xf numFmtId="0" fontId="20" fillId="0" borderId="7">
      <alignment vertical="center"/>
    </xf>
    <xf numFmtId="0" fontId="21" fillId="0" borderId="8">
      <alignment vertical="center"/>
    </xf>
    <xf numFmtId="0" fontId="22" fillId="10" borderId="0">
      <alignment vertical="center"/>
    </xf>
    <xf numFmtId="0" fontId="23" fillId="11" borderId="0">
      <alignment vertical="center"/>
    </xf>
    <xf numFmtId="0" fontId="24" fillId="12" borderId="0">
      <alignment vertical="center"/>
    </xf>
    <xf numFmtId="0" fontId="25" fillId="13" borderId="0">
      <alignment vertical="center"/>
    </xf>
    <xf numFmtId="0" fontId="26" fillId="14" borderId="0">
      <alignment vertical="center"/>
    </xf>
    <xf numFmtId="0" fontId="26" fillId="15" borderId="0">
      <alignment vertical="center"/>
    </xf>
    <xf numFmtId="0" fontId="25" fillId="16" borderId="0">
      <alignment vertical="center"/>
    </xf>
    <xf numFmtId="0" fontId="25" fillId="17" borderId="0">
      <alignment vertical="center"/>
    </xf>
    <xf numFmtId="0" fontId="26" fillId="18" borderId="0">
      <alignment vertical="center"/>
    </xf>
    <xf numFmtId="0" fontId="26" fillId="19" borderId="0">
      <alignment vertical="center"/>
    </xf>
    <xf numFmtId="0" fontId="25" fillId="20" borderId="0">
      <alignment vertical="center"/>
    </xf>
    <xf numFmtId="0" fontId="25" fillId="21" borderId="0">
      <alignment vertical="center"/>
    </xf>
    <xf numFmtId="0" fontId="26" fillId="22" borderId="0">
      <alignment vertical="center"/>
    </xf>
    <xf numFmtId="0" fontId="26" fillId="23" borderId="0">
      <alignment vertical="center"/>
    </xf>
    <xf numFmtId="0" fontId="25" fillId="24" borderId="0">
      <alignment vertical="center"/>
    </xf>
    <xf numFmtId="0" fontId="25" fillId="25" borderId="0">
      <alignment vertical="center"/>
    </xf>
    <xf numFmtId="0" fontId="26" fillId="26" borderId="0">
      <alignment vertical="center"/>
    </xf>
    <xf numFmtId="0" fontId="26" fillId="27" borderId="0">
      <alignment vertical="center"/>
    </xf>
    <xf numFmtId="0" fontId="25" fillId="28" borderId="0">
      <alignment vertical="center"/>
    </xf>
    <xf numFmtId="0" fontId="25" fillId="29" borderId="0">
      <alignment vertical="center"/>
    </xf>
    <xf numFmtId="0" fontId="26" fillId="30" borderId="0">
      <alignment vertical="center"/>
    </xf>
    <xf numFmtId="0" fontId="26" fillId="31" borderId="0">
      <alignment vertical="center"/>
    </xf>
    <xf numFmtId="0" fontId="25" fillId="32" borderId="0">
      <alignment vertical="center"/>
    </xf>
    <xf numFmtId="0" fontId="25" fillId="33" borderId="0">
      <alignment vertical="center"/>
    </xf>
    <xf numFmtId="0" fontId="26" fillId="34" borderId="0">
      <alignment vertical="center"/>
    </xf>
    <xf numFmtId="0" fontId="26" fillId="35" borderId="0">
      <alignment vertical="center"/>
    </xf>
    <xf numFmtId="0" fontId="25" fillId="36" borderId="0">
      <alignment vertical="center"/>
    </xf>
    <xf numFmtId="0" fontId="0" fillId="0" borderId="0"/>
  </cellStyleXfs>
  <cellXfs count="13">
    <xf numFmtId="0" fontId="0" fillId="0" borderId="0" xfId="0"/>
    <xf numFmtId="0" fontId="1" fillId="2" borderId="0" xfId="49" applyFont="1" applyFill="1" applyAlignment="1">
      <alignment horizontal="center" vertical="center" wrapText="1"/>
    </xf>
    <xf numFmtId="0" fontId="1" fillId="3" borderId="0" xfId="49" applyFont="1" applyFill="1" applyAlignment="1">
      <alignment horizontal="center" vertical="center" wrapText="1"/>
    </xf>
    <xf numFmtId="0" fontId="0" fillId="0" borderId="0" xfId="49" applyAlignment="1">
      <alignment vertical="top" wrapText="1"/>
    </xf>
    <xf numFmtId="0" fontId="2" fillId="0" borderId="0" xfId="49" applyFont="1" applyAlignment="1">
      <alignment vertical="top" wrapText="1"/>
    </xf>
    <xf numFmtId="0" fontId="3" fillId="0" borderId="0" xfId="49" applyFont="1" applyAlignment="1">
      <alignment vertical="top" wrapText="1"/>
    </xf>
    <xf numFmtId="0" fontId="1" fillId="4" borderId="0" xfId="49" applyFont="1" applyFill="1" applyAlignment="1">
      <alignment horizontal="center" vertical="center" wrapText="1"/>
    </xf>
    <xf numFmtId="0" fontId="1" fillId="5" borderId="0" xfId="49" applyFont="1" applyFill="1" applyAlignment="1">
      <alignment horizontal="center" vertical="center" wrapText="1"/>
    </xf>
    <xf numFmtId="0" fontId="4" fillId="5" borderId="0" xfId="49" applyFont="1" applyFill="1" applyAlignment="1">
      <alignment horizontal="center" vertical="center" wrapText="1"/>
    </xf>
    <xf numFmtId="0" fontId="5" fillId="0" borderId="0" xfId="49" applyFont="1" applyAlignment="1">
      <alignment vertical="top" wrapText="1"/>
    </xf>
    <xf numFmtId="0" fontId="6" fillId="0" borderId="0" xfId="6" applyFont="1" applyAlignment="1">
      <alignment vertical="center"/>
    </xf>
    <xf numFmtId="0" fontId="7" fillId="0" borderId="0" xfId="49" applyFont="1" applyAlignment="1">
      <alignment vertical="top" wrapText="1"/>
    </xf>
    <xf numFmtId="0" fontId="8" fillId="0" borderId="0" xfId="6"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5">
    <dxf>
      <fill>
        <patternFill patternType="solid">
          <bgColor rgb="FFDCFCE7"/>
        </patternFill>
      </fill>
    </dxf>
    <dxf>
      <fill>
        <patternFill patternType="solid">
          <bgColor rgb="FFFEF3C7"/>
        </patternFill>
      </fill>
    </dxf>
    <dxf>
      <fill>
        <patternFill patternType="solid">
          <bgColor rgb="FFFEE2E2"/>
        </patternFill>
      </fill>
    </dxf>
    <dxf>
      <font>
        <b val="1"/>
      </font>
      <fill>
        <patternFill patternType="solid">
          <bgColor rgb="FFFEE2E2"/>
        </patternFill>
      </fill>
    </dxf>
    <dxf>
      <fill>
        <patternFill patternType="solid">
          <bgColor rgb="FFE0F2F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LiteratureReviewRecords" displayName="LiteratureReviewRecords" ref="A1:AA100">
  <tableColumns count="27">
    <tableColumn id="1" name="序号"/>
    <tableColumn id="2" name="填写状态"/>
    <tableColumn id="3" name="调研人"/>
    <tableColumn id="4" name="分配方向"/>
    <tableColumn id="5" name="优先级"/>
    <tableColumn id="6" name="文献题目"/>
    <tableColumn id="7" name="作者"/>
    <tableColumn id="8" name="年份"/>
    <tableColumn id="9" name="期刊/会议"/>
    <tableColumn id="10" name="DOI/arXiv/链接"/>
    <tableColumn id="11" name="研究对象/任务"/>
    <tableColumn id="12" name="方法类别"/>
    <tableColumn id="13" name="解决的核心问题"/>
    <tableColumn id="14" name="核心方法"/>
    <tableColumn id="15" name="主要贡献"/>
    <tableColumn id="16" name="实验平台/数据集"/>
    <tableColumn id="17" name="评价指标"/>
    <tableColumn id="18" name="主要结果"/>
    <tableColumn id="19" name="相比前人改进"/>
    <tableColumn id="20" name="局限性"/>
    <tableColumn id="21" name="可引出的后续研究"/>
    <tableColumn id="22" name="与其他文献逻辑关系"/>
    <tableColumn id="23" name="综述中可支撑的观点"/>
    <tableColumn id="24" name="目标章节"/>
    <tableColumn id="25" name="引用编号"/>
    <tableColumn id="26" name="是否已读原文"/>
    <tableColumn id="27" name="备注"/>
  </tableColumns>
  <tableStyleInfo name="TableStyleMedium2" showFirstColumn="0" showLastColumn="0" showRowStripes="1" showColumnStripes="0"/>
</table>
</file>

<file path=xl/tables/table2.xml><?xml version="1.0" encoding="utf-8"?>
<table xmlns="http://schemas.openxmlformats.org/spreadsheetml/2006/main" id="2" name="LogicOverview" displayName="LogicOverview" ref="A1:H20">
  <tableColumns count="8">
    <tableColumn id="1" name="研究阶段/主线"/>
    <tableColumn id="2" name="代表文献编号"/>
    <tableColumn id="3" name="核心问题"/>
    <tableColumn id="4" name="代表方法"/>
    <tableColumn id="5" name="解决了什么"/>
    <tableColumn id="6" name="仍存在的问题"/>
    <tableColumn id="7" name="引出的后续方向"/>
    <tableColumn id="8" name="可写入综述的过渡句"/>
  </tableColumns>
  <tableStyleInfo name="TableStyleMedium2" showFirstColumn="0" showLastColumn="0" showRowStripes="1" showColumnStripes="0"/>
</table>
</file>

<file path=xl/tables/table3.xml><?xml version="1.0" encoding="utf-8"?>
<table xmlns="http://schemas.openxmlformats.org/spreadsheetml/2006/main" id="3" name="FieldGuide" displayName="FieldGuide" ref="A1:D14">
  <tableColumns count="4">
    <tableColumn id="1" name="字段"/>
    <tableColumn id="2" name="填写要求"/>
    <tableColumn id="3" name="示例"/>
    <tableColumn id="4" name="注意事项"/>
  </tableColumns>
  <tableStyleInfo name="TableStyleMedium2" showFirstColumn="0" showLastColumn="0" showRowStripes="1" showColumnStripes="0"/>
</table>
</file>

<file path=xl/tables/table4.xml><?xml version="1.0" encoding="utf-8"?>
<table xmlns="http://schemas.openxmlformats.org/spreadsheetml/2006/main" id="4" name="DropdownOptions" displayName="DropdownOptions" ref="A1:F13">
  <tableColumns count="6">
    <tableColumn id="1" name="填写状态"/>
    <tableColumn id="2" name="分配方向"/>
    <tableColumn id="3" name="方法类别"/>
    <tableColumn id="4" name="逻辑关系"/>
    <tableColumn id="5" name="目标章节"/>
    <tableColumn id="6" name="优先级"/>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oi.org/10.48550/arXiv.2410.10803" TargetMode="External"/><Relationship Id="rId8" Type="http://schemas.openxmlformats.org/officeDocument/2006/relationships/hyperlink" Target="https://doi.org/10.48550/arXiv.2410.24221" TargetMode="External"/><Relationship Id="rId7" Type="http://schemas.openxmlformats.org/officeDocument/2006/relationships/hyperlink" Target="https://doi.org/10.48550/arXiv.2408.11805" TargetMode="External"/><Relationship Id="rId6" Type="http://schemas.openxmlformats.org/officeDocument/2006/relationships/hyperlink" Target="https://doi.org/10.48550/arXiv.2407.01512" TargetMode="External"/><Relationship Id="rId5" Type="http://schemas.openxmlformats.org/officeDocument/2006/relationships/hyperlink" Target="https://doi.org/10.1109/IROS60139.2025.11247017" TargetMode="External"/><Relationship Id="rId4" Type="http://schemas.openxmlformats.org/officeDocument/2006/relationships/hyperlink" Target="https://doi.org/10.1109/ICRA55743.2025.11128180" TargetMode="External"/><Relationship Id="rId3" Type="http://schemas.openxmlformats.org/officeDocument/2006/relationships/hyperlink" Target="https://www.roboticsproceedings.org/rss20/p043.pdf" TargetMode="External"/><Relationship Id="rId2" Type="http://schemas.openxmlformats.org/officeDocument/2006/relationships/hyperlink" Target="https://web.media.mit.edu/~cynthiab/Readings/schaal-TICS1999.pdf" TargetMode="External"/><Relationship Id="rId11" Type="http://schemas.openxmlformats.org/officeDocument/2006/relationships/hyperlink" Target="https://doi.org/10.48550/arXiv.2410.11792" TargetMode="External"/><Relationship Id="rId10" Type="http://schemas.openxmlformats.org/officeDocument/2006/relationships/hyperlink" Target="https://doi.org/10.48550/arXiv.2410.18964" TargetMode="Externa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0"/>
  <sheetViews>
    <sheetView tabSelected="1" zoomScale="55" zoomScaleNormal="55" topLeftCell="B15" workbookViewId="0">
      <selection activeCell="I18" sqref="I18"/>
    </sheetView>
  </sheetViews>
  <sheetFormatPr defaultColWidth="9" defaultRowHeight="15"/>
  <cols>
    <col min="1" max="1" width="6" customWidth="1"/>
    <col min="2" max="3" width="10" customWidth="1"/>
    <col min="4" max="4" width="14" customWidth="1"/>
    <col min="5" max="5" width="8" customWidth="1"/>
    <col min="6" max="6" width="34" customWidth="1"/>
    <col min="7" max="7" width="22" customWidth="1"/>
    <col min="8" max="8" width="15.175" customWidth="1"/>
    <col min="9" max="9" width="16" customWidth="1"/>
    <col min="10" max="10" width="15.625" customWidth="1"/>
    <col min="11" max="11" width="18" customWidth="1"/>
    <col min="12" max="12" width="16" customWidth="1"/>
    <col min="13" max="13" width="28" customWidth="1"/>
    <col min="14" max="14" width="46.1916666666667" customWidth="1"/>
    <col min="15" max="15" width="34" customWidth="1"/>
    <col min="16" max="16" width="116.758333333333" customWidth="1"/>
    <col min="17" max="17" width="22" customWidth="1"/>
    <col min="18" max="18" width="32" customWidth="1"/>
    <col min="19" max="19" width="41.0666666666667" customWidth="1"/>
    <col min="20" max="20" width="51.625" customWidth="1"/>
    <col min="21" max="21" width="46.775" customWidth="1"/>
    <col min="22" max="22" width="18" customWidth="1"/>
    <col min="23" max="23" width="36" customWidth="1"/>
    <col min="24" max="24" width="24" customWidth="1"/>
    <col min="25" max="26" width="10" customWidth="1"/>
    <col min="27" max="27" width="20" customWidth="1"/>
  </cols>
  <sheetData>
    <row r="1" ht="28.8" customHeight="1" spans="1:27">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7" t="s">
        <v>15</v>
      </c>
      <c r="Q1" s="7" t="s">
        <v>16</v>
      </c>
      <c r="R1" s="7" t="s">
        <v>17</v>
      </c>
      <c r="S1" s="7" t="s">
        <v>18</v>
      </c>
      <c r="T1" s="7" t="s">
        <v>19</v>
      </c>
      <c r="U1" s="7" t="s">
        <v>20</v>
      </c>
      <c r="V1" s="7" t="s">
        <v>21</v>
      </c>
      <c r="W1" s="7" t="s">
        <v>22</v>
      </c>
      <c r="X1" s="7" t="s">
        <v>23</v>
      </c>
      <c r="Y1" s="7" t="s">
        <v>24</v>
      </c>
      <c r="Z1" s="7" t="s">
        <v>25</v>
      </c>
      <c r="AA1" s="7" t="s">
        <v>26</v>
      </c>
    </row>
    <row r="2" ht="198" customHeight="1" spans="1:27">
      <c r="A2" s="3">
        <f t="shared" ref="A2:A65" si="0">ROW()-1</f>
        <v>1</v>
      </c>
      <c r="B2" s="3" t="s">
        <v>27</v>
      </c>
      <c r="C2" s="4" t="s">
        <v>28</v>
      </c>
      <c r="D2" s="4" t="s">
        <v>29</v>
      </c>
      <c r="E2" s="9" t="s">
        <v>30</v>
      </c>
      <c r="F2" s="3" t="s">
        <v>31</v>
      </c>
      <c r="G2" s="3" t="s">
        <v>32</v>
      </c>
      <c r="H2" s="3">
        <v>1999</v>
      </c>
      <c r="I2" s="5" t="s">
        <v>33</v>
      </c>
      <c r="J2" s="10" t="s">
        <v>34</v>
      </c>
      <c r="K2" s="4" t="s">
        <v>35</v>
      </c>
      <c r="L2" s="5"/>
      <c r="M2" s="4" t="s">
        <v>36</v>
      </c>
      <c r="O2" s="4" t="s">
        <v>37</v>
      </c>
      <c r="P2" s="4" t="s">
        <v>38</v>
      </c>
      <c r="Q2" s="4" t="s">
        <v>39</v>
      </c>
      <c r="R2" s="4"/>
      <c r="S2" s="4" t="s">
        <v>40</v>
      </c>
      <c r="T2" s="4" t="s">
        <v>41</v>
      </c>
      <c r="U2" s="4" t="s">
        <v>42</v>
      </c>
      <c r="V2" s="4" t="s">
        <v>35</v>
      </c>
      <c r="W2" s="4" t="s">
        <v>43</v>
      </c>
      <c r="X2" s="3"/>
      <c r="Y2" s="5" t="s">
        <v>44</v>
      </c>
      <c r="Z2" s="4" t="s">
        <v>45</v>
      </c>
      <c r="AA2" s="4" t="s">
        <v>46</v>
      </c>
    </row>
    <row r="3" ht="252" customHeight="1" spans="1:27">
      <c r="A3" s="3">
        <f t="shared" si="0"/>
        <v>2</v>
      </c>
      <c r="B3" s="3" t="s">
        <v>27</v>
      </c>
      <c r="C3" s="4" t="s">
        <v>28</v>
      </c>
      <c r="D3" s="3" t="s">
        <v>29</v>
      </c>
      <c r="E3" s="9" t="s">
        <v>47</v>
      </c>
      <c r="F3" s="3" t="s">
        <v>48</v>
      </c>
      <c r="G3" s="11" t="s">
        <v>49</v>
      </c>
      <c r="H3" s="3">
        <v>2024</v>
      </c>
      <c r="I3" s="3" t="s">
        <v>50</v>
      </c>
      <c r="J3" s="12" t="s">
        <v>51</v>
      </c>
      <c r="K3" s="4" t="s">
        <v>52</v>
      </c>
      <c r="L3" s="3"/>
      <c r="M3" s="4" t="s">
        <v>53</v>
      </c>
      <c r="N3" s="4" t="str">
        <f>_xlfn.DISPIMG("ID_C83A2C9706FD43968B0DC325F0C7A16B",1)</f>
        <v>=DISPIMG("ID_C83A2C9706FD43968B0DC325F0C7A16B",1)</v>
      </c>
      <c r="O3" s="4" t="s">
        <v>54</v>
      </c>
      <c r="P3" s="5" t="s">
        <v>55</v>
      </c>
      <c r="Q3" s="5" t="s">
        <v>56</v>
      </c>
      <c r="R3" s="4" t="s">
        <v>57</v>
      </c>
      <c r="S3" s="4" t="s">
        <v>58</v>
      </c>
      <c r="T3" s="4" t="s">
        <v>59</v>
      </c>
      <c r="U3" s="4" t="s">
        <v>60</v>
      </c>
      <c r="V3" s="4" t="s">
        <v>61</v>
      </c>
      <c r="W3" s="4" t="s">
        <v>62</v>
      </c>
      <c r="X3" s="3"/>
      <c r="Y3" s="3"/>
      <c r="Z3" s="3"/>
      <c r="AA3" s="3"/>
    </row>
    <row r="4" ht="306" customHeight="1" spans="1:27">
      <c r="A4" s="3">
        <f t="shared" si="0"/>
        <v>3</v>
      </c>
      <c r="B4" s="3"/>
      <c r="C4" s="4" t="s">
        <v>28</v>
      </c>
      <c r="D4" s="3" t="s">
        <v>29</v>
      </c>
      <c r="E4" s="4" t="s">
        <v>63</v>
      </c>
      <c r="F4" s="3" t="s">
        <v>64</v>
      </c>
      <c r="G4" s="3" t="s">
        <v>65</v>
      </c>
      <c r="H4" s="3">
        <v>2025</v>
      </c>
      <c r="I4" s="3" t="s">
        <v>66</v>
      </c>
      <c r="J4" s="12" t="s">
        <v>67</v>
      </c>
      <c r="K4" s="4" t="s">
        <v>68</v>
      </c>
      <c r="L4" s="3"/>
      <c r="M4" s="4" t="s">
        <v>69</v>
      </c>
      <c r="N4" s="4" t="s">
        <v>70</v>
      </c>
      <c r="O4" s="4" t="s">
        <v>71</v>
      </c>
      <c r="P4" s="4" t="s">
        <v>72</v>
      </c>
      <c r="Q4" s="5" t="s">
        <v>73</v>
      </c>
      <c r="R4" s="4" t="s">
        <v>74</v>
      </c>
      <c r="S4" s="4" t="s">
        <v>75</v>
      </c>
      <c r="T4" s="4" t="s">
        <v>76</v>
      </c>
      <c r="U4" s="4" t="s">
        <v>77</v>
      </c>
      <c r="V4" s="4" t="s">
        <v>78</v>
      </c>
      <c r="W4" s="4" t="s">
        <v>79</v>
      </c>
      <c r="X4" s="3"/>
      <c r="Y4" s="3"/>
      <c r="Z4" s="3"/>
      <c r="AA4" s="3"/>
    </row>
    <row r="5" ht="354" customHeight="1" spans="1:27">
      <c r="A5" s="3">
        <f t="shared" si="0"/>
        <v>4</v>
      </c>
      <c r="B5" s="3"/>
      <c r="C5" s="4" t="s">
        <v>28</v>
      </c>
      <c r="D5" s="3" t="s">
        <v>29</v>
      </c>
      <c r="E5" s="4" t="s">
        <v>80</v>
      </c>
      <c r="F5" s="3" t="s">
        <v>81</v>
      </c>
      <c r="G5" s="3" t="s">
        <v>82</v>
      </c>
      <c r="H5" s="3">
        <v>2025</v>
      </c>
      <c r="I5" s="3" t="s">
        <v>83</v>
      </c>
      <c r="J5" s="12" t="s">
        <v>84</v>
      </c>
      <c r="K5" s="4" t="s">
        <v>85</v>
      </c>
      <c r="L5" s="3"/>
      <c r="M5" s="4" t="s">
        <v>86</v>
      </c>
      <c r="N5" s="4" t="s">
        <v>87</v>
      </c>
      <c r="O5" s="4" t="s">
        <v>88</v>
      </c>
      <c r="P5" s="5" t="s">
        <v>89</v>
      </c>
      <c r="Q5" s="4" t="s">
        <v>90</v>
      </c>
      <c r="R5" s="4" t="s">
        <v>91</v>
      </c>
      <c r="S5" s="4" t="s">
        <v>92</v>
      </c>
      <c r="T5" s="4" t="s">
        <v>93</v>
      </c>
      <c r="U5" s="5" t="s">
        <v>94</v>
      </c>
      <c r="V5" s="4" t="s">
        <v>95</v>
      </c>
      <c r="W5" s="4" t="s">
        <v>96</v>
      </c>
      <c r="X5" s="3"/>
      <c r="Y5" s="3"/>
      <c r="Z5" s="3"/>
      <c r="AA5" s="3"/>
    </row>
    <row r="6" ht="285" customHeight="1" spans="1:27">
      <c r="A6" s="3">
        <f t="shared" si="0"/>
        <v>5</v>
      </c>
      <c r="B6" s="3"/>
      <c r="C6" s="4" t="s">
        <v>28</v>
      </c>
      <c r="D6" s="3" t="s">
        <v>29</v>
      </c>
      <c r="E6" s="4" t="s">
        <v>97</v>
      </c>
      <c r="F6" s="3" t="s">
        <v>98</v>
      </c>
      <c r="G6" s="3" t="s">
        <v>99</v>
      </c>
      <c r="H6" s="3">
        <v>2024</v>
      </c>
      <c r="I6" s="3" t="s">
        <v>100</v>
      </c>
      <c r="J6" s="10" t="s">
        <v>101</v>
      </c>
      <c r="K6" s="4" t="s">
        <v>102</v>
      </c>
      <c r="L6" s="3"/>
      <c r="M6" s="4" t="s">
        <v>103</v>
      </c>
      <c r="N6" s="5" t="s">
        <v>104</v>
      </c>
      <c r="O6" s="4" t="s">
        <v>105</v>
      </c>
      <c r="P6" s="5" t="s">
        <v>106</v>
      </c>
      <c r="Q6" s="5" t="s">
        <v>107</v>
      </c>
      <c r="R6" s="5" t="s">
        <v>108</v>
      </c>
      <c r="S6" s="4" t="s">
        <v>109</v>
      </c>
      <c r="T6" s="5" t="s">
        <v>110</v>
      </c>
      <c r="U6" s="5" t="s">
        <v>111</v>
      </c>
      <c r="V6" s="4" t="s">
        <v>112</v>
      </c>
      <c r="W6" s="5" t="s">
        <v>113</v>
      </c>
      <c r="X6" s="3"/>
      <c r="Y6" s="3"/>
      <c r="Z6" s="3"/>
      <c r="AA6" s="3"/>
    </row>
    <row r="7" ht="367" customHeight="1" spans="1:27">
      <c r="A7" s="3">
        <f t="shared" si="0"/>
        <v>6</v>
      </c>
      <c r="B7" s="3"/>
      <c r="C7" s="4" t="s">
        <v>28</v>
      </c>
      <c r="D7" s="3" t="s">
        <v>29</v>
      </c>
      <c r="E7" s="9" t="s">
        <v>97</v>
      </c>
      <c r="F7" s="3" t="s">
        <v>114</v>
      </c>
      <c r="G7" s="3" t="s">
        <v>115</v>
      </c>
      <c r="H7" s="3">
        <v>2024</v>
      </c>
      <c r="I7" s="3" t="s">
        <v>100</v>
      </c>
      <c r="J7" s="12" t="s">
        <v>116</v>
      </c>
      <c r="K7" s="4" t="s">
        <v>117</v>
      </c>
      <c r="L7" s="3"/>
      <c r="M7" s="4" t="s">
        <v>118</v>
      </c>
      <c r="N7" s="4" t="s">
        <v>119</v>
      </c>
      <c r="O7" s="4" t="s">
        <v>120</v>
      </c>
      <c r="P7" s="5" t="s">
        <v>121</v>
      </c>
      <c r="Q7" s="4" t="s">
        <v>122</v>
      </c>
      <c r="R7" s="4" t="s">
        <v>123</v>
      </c>
      <c r="S7" s="4" t="s">
        <v>124</v>
      </c>
      <c r="T7" s="5" t="s">
        <v>125</v>
      </c>
      <c r="U7" s="5" t="s">
        <v>126</v>
      </c>
      <c r="V7" s="4" t="s">
        <v>127</v>
      </c>
      <c r="W7" s="4" t="s">
        <v>128</v>
      </c>
      <c r="X7" s="3"/>
      <c r="Y7" s="3"/>
      <c r="Z7" s="3"/>
      <c r="AA7" s="3"/>
    </row>
    <row r="8" ht="333" customHeight="1" spans="1:27">
      <c r="A8" s="3">
        <f t="shared" si="0"/>
        <v>7</v>
      </c>
      <c r="B8" s="3"/>
      <c r="C8" s="4" t="s">
        <v>28</v>
      </c>
      <c r="D8" s="3" t="s">
        <v>29</v>
      </c>
      <c r="E8" s="9" t="s">
        <v>129</v>
      </c>
      <c r="F8" s="3" t="s">
        <v>130</v>
      </c>
      <c r="G8" s="3" t="s">
        <v>131</v>
      </c>
      <c r="H8" s="3">
        <v>2025</v>
      </c>
      <c r="I8" s="3" t="s">
        <v>132</v>
      </c>
      <c r="J8" s="12" t="s">
        <v>133</v>
      </c>
      <c r="K8" s="4" t="s">
        <v>134</v>
      </c>
      <c r="L8" s="3"/>
      <c r="M8" s="4" t="s">
        <v>135</v>
      </c>
      <c r="N8" s="9" t="str">
        <f>_xlfn.DISPIMG("ID_CC0406E2CC454FC785296EC375B39D36",1)</f>
        <v>=DISPIMG("ID_CC0406E2CC454FC785296EC375B39D36",1)</v>
      </c>
      <c r="O8" s="4" t="s">
        <v>136</v>
      </c>
      <c r="P8" s="5" t="s">
        <v>137</v>
      </c>
      <c r="Q8" s="5" t="s">
        <v>138</v>
      </c>
      <c r="R8" s="5" t="s">
        <v>139</v>
      </c>
      <c r="S8" s="4" t="s">
        <v>140</v>
      </c>
      <c r="T8" s="5" t="s">
        <v>141</v>
      </c>
      <c r="U8" s="5" t="s">
        <v>142</v>
      </c>
      <c r="V8" s="4" t="s">
        <v>143</v>
      </c>
      <c r="W8" s="4" t="s">
        <v>144</v>
      </c>
      <c r="X8" s="3"/>
      <c r="Y8" s="3"/>
      <c r="Z8" s="3"/>
      <c r="AA8" s="3"/>
    </row>
    <row r="9" ht="329" customHeight="1" spans="1:27">
      <c r="A9" s="3">
        <f t="shared" si="0"/>
        <v>8</v>
      </c>
      <c r="B9" s="3"/>
      <c r="C9" s="3" t="s">
        <v>28</v>
      </c>
      <c r="D9" s="3" t="s">
        <v>29</v>
      </c>
      <c r="E9" s="9" t="s">
        <v>145</v>
      </c>
      <c r="F9" s="3" t="s">
        <v>146</v>
      </c>
      <c r="G9" s="3" t="s">
        <v>147</v>
      </c>
      <c r="H9" s="3">
        <v>2025</v>
      </c>
      <c r="I9" s="3" t="s">
        <v>83</v>
      </c>
      <c r="J9" s="12" t="s">
        <v>148</v>
      </c>
      <c r="K9" s="4" t="s">
        <v>149</v>
      </c>
      <c r="L9" s="4"/>
      <c r="M9" s="5" t="s">
        <v>150</v>
      </c>
      <c r="N9" s="4" t="s">
        <v>151</v>
      </c>
      <c r="O9" s="4" t="s">
        <v>152</v>
      </c>
      <c r="P9" s="4" t="s">
        <v>153</v>
      </c>
      <c r="Q9" s="5" t="s">
        <v>154</v>
      </c>
      <c r="R9" s="5" t="s">
        <v>155</v>
      </c>
      <c r="S9" s="4" t="s">
        <v>156</v>
      </c>
      <c r="T9" s="4" t="s">
        <v>157</v>
      </c>
      <c r="U9" s="5" t="s">
        <v>158</v>
      </c>
      <c r="V9" s="4" t="s">
        <v>159</v>
      </c>
      <c r="W9" s="5" t="s">
        <v>160</v>
      </c>
      <c r="X9" s="3"/>
      <c r="Y9" s="3"/>
      <c r="Z9" s="3"/>
      <c r="AA9" s="3"/>
    </row>
    <row r="10" ht="369" customHeight="1" spans="1:27">
      <c r="A10" s="3">
        <f t="shared" si="0"/>
        <v>9</v>
      </c>
      <c r="B10" s="3"/>
      <c r="C10" s="3" t="s">
        <v>28</v>
      </c>
      <c r="D10" s="3" t="s">
        <v>29</v>
      </c>
      <c r="E10" s="3" t="s">
        <v>97</v>
      </c>
      <c r="F10" s="3" t="s">
        <v>161</v>
      </c>
      <c r="G10" s="3" t="s">
        <v>162</v>
      </c>
      <c r="H10" s="3">
        <v>2024</v>
      </c>
      <c r="I10" s="3" t="s">
        <v>163</v>
      </c>
      <c r="J10" s="12" t="s">
        <v>164</v>
      </c>
      <c r="K10" s="4" t="s">
        <v>165</v>
      </c>
      <c r="L10" s="4"/>
      <c r="M10" s="4" t="s">
        <v>166</v>
      </c>
      <c r="N10" s="4" t="s">
        <v>167</v>
      </c>
      <c r="O10" s="4" t="s">
        <v>168</v>
      </c>
      <c r="P10" s="4" t="s">
        <v>169</v>
      </c>
      <c r="Q10" s="5" t="s">
        <v>170</v>
      </c>
      <c r="R10" s="5" t="s">
        <v>171</v>
      </c>
      <c r="S10" s="4" t="s">
        <v>172</v>
      </c>
      <c r="T10" s="5" t="s">
        <v>173</v>
      </c>
      <c r="U10" s="5" t="s">
        <v>174</v>
      </c>
      <c r="V10" s="4" t="s">
        <v>175</v>
      </c>
      <c r="W10" s="3"/>
      <c r="X10" s="3"/>
      <c r="Y10" s="3"/>
      <c r="Z10" s="3"/>
      <c r="AA10" s="3"/>
    </row>
    <row r="11" ht="291" customHeight="1" spans="1:27">
      <c r="A11" s="3">
        <f t="shared" si="0"/>
        <v>10</v>
      </c>
      <c r="B11" s="3"/>
      <c r="C11" s="3" t="s">
        <v>28</v>
      </c>
      <c r="D11" s="3" t="s">
        <v>29</v>
      </c>
      <c r="E11" s="3"/>
      <c r="F11" s="3" t="s">
        <v>176</v>
      </c>
      <c r="G11" s="3" t="s">
        <v>177</v>
      </c>
      <c r="H11" s="3">
        <v>2024</v>
      </c>
      <c r="I11" s="3" t="s">
        <v>163</v>
      </c>
      <c r="J11" s="12" t="s">
        <v>178</v>
      </c>
      <c r="K11" s="4" t="s">
        <v>179</v>
      </c>
      <c r="L11" s="3"/>
      <c r="M11" s="5" t="s">
        <v>180</v>
      </c>
      <c r="N11" s="4" t="s">
        <v>181</v>
      </c>
      <c r="O11" s="4" t="s">
        <v>182</v>
      </c>
      <c r="P11" s="5" t="s">
        <v>183</v>
      </c>
      <c r="Q11" s="5" t="s">
        <v>184</v>
      </c>
      <c r="R11" s="4" t="s">
        <v>185</v>
      </c>
      <c r="S11" s="4" t="s">
        <v>186</v>
      </c>
      <c r="T11" s="4" t="s">
        <v>187</v>
      </c>
      <c r="U11" s="5" t="s">
        <v>188</v>
      </c>
      <c r="V11" s="4" t="s">
        <v>189</v>
      </c>
      <c r="W11" s="4" t="s">
        <v>190</v>
      </c>
      <c r="X11" s="3"/>
      <c r="Y11" s="3"/>
      <c r="Z11" s="3"/>
      <c r="AA11" s="3"/>
    </row>
    <row r="12" ht="234" spans="1:27">
      <c r="A12" s="3">
        <f t="shared" si="0"/>
        <v>11</v>
      </c>
      <c r="B12" s="3" t="s">
        <v>27</v>
      </c>
      <c r="C12" s="3" t="s">
        <v>191</v>
      </c>
      <c r="D12" s="3" t="s">
        <v>192</v>
      </c>
      <c r="E12" s="3" t="s">
        <v>193</v>
      </c>
      <c r="F12" s="3" t="s">
        <v>194</v>
      </c>
      <c r="G12" s="3" t="s">
        <v>195</v>
      </c>
      <c r="H12" s="3">
        <v>2024</v>
      </c>
      <c r="I12" s="3" t="s">
        <v>196</v>
      </c>
      <c r="J12" s="3" t="s">
        <v>197</v>
      </c>
      <c r="K12" s="3" t="s">
        <v>198</v>
      </c>
      <c r="L12" s="3" t="s">
        <v>199</v>
      </c>
      <c r="M12" s="3" t="s">
        <v>200</v>
      </c>
      <c r="N12" s="3" t="s">
        <v>201</v>
      </c>
      <c r="O12" s="3" t="s">
        <v>202</v>
      </c>
      <c r="P12" s="3" t="s">
        <v>203</v>
      </c>
      <c r="Q12" s="3" t="s">
        <v>204</v>
      </c>
      <c r="R12" s="3" t="s">
        <v>205</v>
      </c>
      <c r="S12" s="3" t="s">
        <v>206</v>
      </c>
      <c r="T12" s="3" t="s">
        <v>207</v>
      </c>
      <c r="U12" s="3" t="s">
        <v>208</v>
      </c>
      <c r="V12" s="3" t="s">
        <v>209</v>
      </c>
      <c r="W12" s="3" t="s">
        <v>210</v>
      </c>
      <c r="X12" s="3" t="s">
        <v>211</v>
      </c>
      <c r="Y12" s="3" t="s">
        <v>44</v>
      </c>
      <c r="Z12" s="3" t="s">
        <v>45</v>
      </c>
      <c r="AA12" s="3" t="s">
        <v>212</v>
      </c>
    </row>
    <row r="13" ht="216" spans="1:27">
      <c r="A13" s="3">
        <f t="shared" si="0"/>
        <v>12</v>
      </c>
      <c r="B13" s="3" t="s">
        <v>27</v>
      </c>
      <c r="C13" s="3" t="s">
        <v>191</v>
      </c>
      <c r="D13" s="3" t="s">
        <v>192</v>
      </c>
      <c r="E13" s="3" t="s">
        <v>193</v>
      </c>
      <c r="F13" s="3" t="s">
        <v>213</v>
      </c>
      <c r="G13" s="3" t="s">
        <v>214</v>
      </c>
      <c r="H13" s="3">
        <v>2024</v>
      </c>
      <c r="I13" s="3" t="s">
        <v>215</v>
      </c>
      <c r="J13" s="3" t="s">
        <v>216</v>
      </c>
      <c r="K13" s="3" t="s">
        <v>217</v>
      </c>
      <c r="L13" s="3" t="s">
        <v>218</v>
      </c>
      <c r="M13" s="3" t="s">
        <v>219</v>
      </c>
      <c r="N13" s="3" t="s">
        <v>220</v>
      </c>
      <c r="O13" s="3" t="s">
        <v>221</v>
      </c>
      <c r="P13" s="3" t="s">
        <v>222</v>
      </c>
      <c r="Q13" s="3" t="s">
        <v>223</v>
      </c>
      <c r="R13" s="3" t="s">
        <v>224</v>
      </c>
      <c r="S13" s="3" t="s">
        <v>225</v>
      </c>
      <c r="T13" s="3" t="s">
        <v>226</v>
      </c>
      <c r="U13" s="3" t="s">
        <v>227</v>
      </c>
      <c r="V13" s="3" t="s">
        <v>228</v>
      </c>
      <c r="W13" s="3" t="s">
        <v>229</v>
      </c>
      <c r="X13" s="3" t="s">
        <v>211</v>
      </c>
      <c r="Y13" s="3" t="s">
        <v>44</v>
      </c>
      <c r="Z13" s="3" t="s">
        <v>45</v>
      </c>
      <c r="AA13" s="3" t="s">
        <v>230</v>
      </c>
    </row>
    <row r="14" ht="180" spans="1:27">
      <c r="A14" s="3">
        <f t="shared" si="0"/>
        <v>13</v>
      </c>
      <c r="B14" s="3" t="s">
        <v>27</v>
      </c>
      <c r="C14" s="3" t="s">
        <v>191</v>
      </c>
      <c r="D14" s="3" t="s">
        <v>231</v>
      </c>
      <c r="E14" s="3" t="s">
        <v>193</v>
      </c>
      <c r="F14" s="3" t="s">
        <v>232</v>
      </c>
      <c r="G14" s="3" t="s">
        <v>233</v>
      </c>
      <c r="H14" s="3">
        <v>2024</v>
      </c>
      <c r="I14" s="3" t="s">
        <v>215</v>
      </c>
      <c r="J14" s="3" t="s">
        <v>234</v>
      </c>
      <c r="K14" s="3" t="s">
        <v>235</v>
      </c>
      <c r="L14" s="3" t="s">
        <v>236</v>
      </c>
      <c r="M14" s="3" t="s">
        <v>237</v>
      </c>
      <c r="N14" s="3" t="s">
        <v>238</v>
      </c>
      <c r="O14" s="3" t="s">
        <v>239</v>
      </c>
      <c r="P14" s="3" t="s">
        <v>240</v>
      </c>
      <c r="Q14" s="3" t="s">
        <v>241</v>
      </c>
      <c r="R14" s="3" t="s">
        <v>242</v>
      </c>
      <c r="S14" s="3" t="s">
        <v>243</v>
      </c>
      <c r="T14" s="3" t="s">
        <v>244</v>
      </c>
      <c r="U14" s="3" t="s">
        <v>245</v>
      </c>
      <c r="V14" s="3" t="s">
        <v>246</v>
      </c>
      <c r="W14" s="3" t="s">
        <v>247</v>
      </c>
      <c r="X14" s="3" t="s">
        <v>248</v>
      </c>
      <c r="Y14" s="3" t="s">
        <v>44</v>
      </c>
      <c r="Z14" s="3" t="s">
        <v>45</v>
      </c>
      <c r="AA14" s="3" t="s">
        <v>249</v>
      </c>
    </row>
    <row r="15" ht="264" spans="1:27">
      <c r="A15" s="3">
        <f t="shared" si="0"/>
        <v>14</v>
      </c>
      <c r="B15" s="3" t="s">
        <v>27</v>
      </c>
      <c r="C15" s="3" t="s">
        <v>191</v>
      </c>
      <c r="D15" s="3" t="s">
        <v>250</v>
      </c>
      <c r="E15" s="3" t="s">
        <v>193</v>
      </c>
      <c r="F15" s="3" t="s">
        <v>251</v>
      </c>
      <c r="G15" s="3" t="s">
        <v>252</v>
      </c>
      <c r="H15" s="3">
        <v>2024</v>
      </c>
      <c r="I15" s="3" t="s">
        <v>215</v>
      </c>
      <c r="J15" s="3" t="s">
        <v>253</v>
      </c>
      <c r="K15" s="3" t="s">
        <v>254</v>
      </c>
      <c r="L15" s="3" t="s">
        <v>255</v>
      </c>
      <c r="M15" s="3" t="s">
        <v>256</v>
      </c>
      <c r="N15" s="3" t="s">
        <v>257</v>
      </c>
      <c r="O15" s="3" t="s">
        <v>258</v>
      </c>
      <c r="P15" s="3" t="s">
        <v>259</v>
      </c>
      <c r="Q15" s="3" t="s">
        <v>260</v>
      </c>
      <c r="R15" s="3" t="s">
        <v>261</v>
      </c>
      <c r="S15" s="3" t="s">
        <v>262</v>
      </c>
      <c r="T15" s="3" t="s">
        <v>263</v>
      </c>
      <c r="U15" s="3" t="s">
        <v>264</v>
      </c>
      <c r="V15" s="3" t="s">
        <v>265</v>
      </c>
      <c r="W15" s="3" t="s">
        <v>266</v>
      </c>
      <c r="X15" s="3" t="s">
        <v>267</v>
      </c>
      <c r="Y15" s="3" t="s">
        <v>44</v>
      </c>
      <c r="Z15" s="3" t="s">
        <v>45</v>
      </c>
      <c r="AA15" s="3" t="s">
        <v>268</v>
      </c>
    </row>
    <row r="16" ht="216" spans="1:27">
      <c r="A16" s="3">
        <f t="shared" si="0"/>
        <v>15</v>
      </c>
      <c r="B16" s="3" t="s">
        <v>27</v>
      </c>
      <c r="C16" s="3" t="s">
        <v>191</v>
      </c>
      <c r="D16" s="3" t="s">
        <v>192</v>
      </c>
      <c r="E16" s="3" t="s">
        <v>193</v>
      </c>
      <c r="F16" s="3" t="s">
        <v>269</v>
      </c>
      <c r="G16" s="3" t="s">
        <v>270</v>
      </c>
      <c r="H16" s="3">
        <v>2024</v>
      </c>
      <c r="I16" s="3" t="s">
        <v>271</v>
      </c>
      <c r="J16" s="3" t="s">
        <v>272</v>
      </c>
      <c r="K16" s="3" t="s">
        <v>273</v>
      </c>
      <c r="L16" s="3" t="s">
        <v>274</v>
      </c>
      <c r="M16" s="3" t="s">
        <v>275</v>
      </c>
      <c r="N16" s="3" t="s">
        <v>276</v>
      </c>
      <c r="O16" s="3" t="s">
        <v>277</v>
      </c>
      <c r="P16" s="3" t="s">
        <v>278</v>
      </c>
      <c r="Q16" s="3" t="s">
        <v>279</v>
      </c>
      <c r="R16" s="3" t="s">
        <v>280</v>
      </c>
      <c r="S16" s="3" t="s">
        <v>281</v>
      </c>
      <c r="T16" s="3" t="s">
        <v>282</v>
      </c>
      <c r="U16" s="3" t="s">
        <v>283</v>
      </c>
      <c r="V16" s="3" t="s">
        <v>284</v>
      </c>
      <c r="W16" s="3" t="s">
        <v>285</v>
      </c>
      <c r="X16" s="3" t="s">
        <v>211</v>
      </c>
      <c r="Y16" s="3" t="s">
        <v>44</v>
      </c>
      <c r="Z16" s="3" t="s">
        <v>45</v>
      </c>
      <c r="AA16" s="3" t="s">
        <v>286</v>
      </c>
    </row>
    <row r="17" ht="198" spans="1:27">
      <c r="A17" s="3">
        <f t="shared" si="0"/>
        <v>16</v>
      </c>
      <c r="B17" s="3" t="s">
        <v>27</v>
      </c>
      <c r="C17" s="3" t="s">
        <v>191</v>
      </c>
      <c r="D17" s="3" t="s">
        <v>287</v>
      </c>
      <c r="E17" s="3" t="s">
        <v>193</v>
      </c>
      <c r="F17" s="3" t="s">
        <v>288</v>
      </c>
      <c r="G17" s="3" t="s">
        <v>289</v>
      </c>
      <c r="H17" s="3">
        <v>2025</v>
      </c>
      <c r="I17" s="3" t="s">
        <v>290</v>
      </c>
      <c r="J17" s="3" t="s">
        <v>291</v>
      </c>
      <c r="K17" s="3" t="s">
        <v>292</v>
      </c>
      <c r="L17" s="3" t="s">
        <v>293</v>
      </c>
      <c r="M17" s="3" t="s">
        <v>294</v>
      </c>
      <c r="N17" s="3" t="s">
        <v>295</v>
      </c>
      <c r="O17" s="3" t="s">
        <v>296</v>
      </c>
      <c r="P17" s="3" t="s">
        <v>297</v>
      </c>
      <c r="Q17" s="3" t="s">
        <v>298</v>
      </c>
      <c r="R17" s="3" t="s">
        <v>299</v>
      </c>
      <c r="S17" s="3" t="s">
        <v>300</v>
      </c>
      <c r="T17" s="3" t="s">
        <v>301</v>
      </c>
      <c r="U17" s="3" t="s">
        <v>302</v>
      </c>
      <c r="V17" s="3" t="s">
        <v>303</v>
      </c>
      <c r="W17" s="3" t="s">
        <v>304</v>
      </c>
      <c r="X17" s="3" t="s">
        <v>211</v>
      </c>
      <c r="Y17" s="3" t="s">
        <v>44</v>
      </c>
      <c r="Z17" s="3" t="s">
        <v>45</v>
      </c>
      <c r="AA17" s="3" t="s">
        <v>305</v>
      </c>
    </row>
    <row r="18" spans="1:27">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spans="1:27">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spans="1:27">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spans="1:27">
      <c r="A22" s="3">
        <f t="shared" si="0"/>
        <v>21</v>
      </c>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c r="A23" s="3">
        <f t="shared" si="0"/>
        <v>22</v>
      </c>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c r="A24" s="3">
        <f t="shared" si="0"/>
        <v>23</v>
      </c>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c r="A25" s="3">
        <f t="shared" si="0"/>
        <v>24</v>
      </c>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c r="A26" s="3">
        <f t="shared" si="0"/>
        <v>25</v>
      </c>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c r="A27" s="3">
        <f t="shared" si="0"/>
        <v>26</v>
      </c>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c r="A28" s="3">
        <f t="shared" si="0"/>
        <v>27</v>
      </c>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c r="A29" s="3">
        <f t="shared" si="0"/>
        <v>28</v>
      </c>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c r="A30" s="3">
        <f t="shared" si="0"/>
        <v>29</v>
      </c>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c r="A31" s="3">
        <f t="shared" si="0"/>
        <v>30</v>
      </c>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c r="A32" s="3">
        <f t="shared" si="0"/>
        <v>31</v>
      </c>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c r="A33" s="3">
        <f t="shared" si="0"/>
        <v>32</v>
      </c>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c r="A34" s="3">
        <f t="shared" si="0"/>
        <v>33</v>
      </c>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c r="A35" s="3">
        <f t="shared" si="0"/>
        <v>34</v>
      </c>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c r="A36" s="3">
        <f t="shared" si="0"/>
        <v>35</v>
      </c>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c r="A37" s="3">
        <f t="shared" si="0"/>
        <v>36</v>
      </c>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c r="A38" s="3">
        <f t="shared" si="0"/>
        <v>37</v>
      </c>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c r="A39" s="3">
        <f t="shared" si="0"/>
        <v>38</v>
      </c>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c r="A40" s="3">
        <f t="shared" si="0"/>
        <v>39</v>
      </c>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c r="A41" s="3">
        <f t="shared" si="0"/>
        <v>40</v>
      </c>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c r="A42" s="3">
        <f t="shared" si="0"/>
        <v>41</v>
      </c>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c r="A43" s="3">
        <f t="shared" si="0"/>
        <v>42</v>
      </c>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c r="A44" s="3">
        <f t="shared" si="0"/>
        <v>43</v>
      </c>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c r="A45" s="3">
        <f t="shared" si="0"/>
        <v>44</v>
      </c>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c r="A46" s="3">
        <f t="shared" si="0"/>
        <v>45</v>
      </c>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c r="A47" s="3">
        <f t="shared" si="0"/>
        <v>46</v>
      </c>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c r="A48" s="3">
        <f t="shared" si="0"/>
        <v>47</v>
      </c>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c r="A49" s="3">
        <f t="shared" si="0"/>
        <v>48</v>
      </c>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c r="A50" s="3">
        <f t="shared" si="0"/>
        <v>49</v>
      </c>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c r="A51" s="3">
        <f t="shared" si="0"/>
        <v>50</v>
      </c>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c r="A52" s="3">
        <f t="shared" si="0"/>
        <v>51</v>
      </c>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c r="A53" s="3">
        <f t="shared" si="0"/>
        <v>52</v>
      </c>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c r="A54" s="3">
        <f t="shared" si="0"/>
        <v>53</v>
      </c>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c r="A55" s="3">
        <f t="shared" si="0"/>
        <v>54</v>
      </c>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c r="A56" s="3">
        <f t="shared" si="0"/>
        <v>55</v>
      </c>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c r="A57" s="3">
        <f t="shared" si="0"/>
        <v>56</v>
      </c>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c r="A58" s="3">
        <f t="shared" si="0"/>
        <v>57</v>
      </c>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c r="A59" s="3">
        <f t="shared" si="0"/>
        <v>58</v>
      </c>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c r="A60" s="3">
        <f t="shared" si="0"/>
        <v>59</v>
      </c>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c r="A61" s="3">
        <f t="shared" si="0"/>
        <v>60</v>
      </c>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c r="A62" s="3">
        <f t="shared" si="0"/>
        <v>61</v>
      </c>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c r="A63" s="3">
        <f t="shared" si="0"/>
        <v>62</v>
      </c>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c r="A64" s="3">
        <f t="shared" si="0"/>
        <v>63</v>
      </c>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c r="A65" s="3">
        <f t="shared" si="0"/>
        <v>64</v>
      </c>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c r="A66" s="3">
        <f t="shared" ref="A66:A100" si="1">ROW()-1</f>
        <v>65</v>
      </c>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c r="A67" s="3">
        <f t="shared" si="1"/>
        <v>66</v>
      </c>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c r="A68" s="3">
        <f t="shared" si="1"/>
        <v>67</v>
      </c>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c r="A69" s="3">
        <f t="shared" si="1"/>
        <v>68</v>
      </c>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c r="A70" s="3">
        <f t="shared" si="1"/>
        <v>69</v>
      </c>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c r="A71" s="3">
        <f t="shared" si="1"/>
        <v>70</v>
      </c>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c r="A72" s="3">
        <f t="shared" si="1"/>
        <v>71</v>
      </c>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c r="A73" s="3">
        <f t="shared" si="1"/>
        <v>72</v>
      </c>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c r="A74" s="3">
        <f t="shared" si="1"/>
        <v>73</v>
      </c>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c r="A75" s="3">
        <f t="shared" si="1"/>
        <v>74</v>
      </c>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c r="A76" s="3">
        <f t="shared" si="1"/>
        <v>75</v>
      </c>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c r="A77" s="3">
        <f t="shared" si="1"/>
        <v>76</v>
      </c>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c r="A78" s="3">
        <f t="shared" si="1"/>
        <v>77</v>
      </c>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c r="A79" s="3">
        <f t="shared" si="1"/>
        <v>78</v>
      </c>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c r="A80" s="3">
        <f t="shared" si="1"/>
        <v>79</v>
      </c>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c r="A81" s="3">
        <f t="shared" si="1"/>
        <v>80</v>
      </c>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c r="A82" s="3">
        <f t="shared" si="1"/>
        <v>81</v>
      </c>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c r="A83" s="3">
        <f t="shared" si="1"/>
        <v>82</v>
      </c>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c r="A84" s="3">
        <f t="shared" si="1"/>
        <v>83</v>
      </c>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c r="A85" s="3">
        <f t="shared" si="1"/>
        <v>84</v>
      </c>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c r="A86" s="3">
        <f t="shared" si="1"/>
        <v>85</v>
      </c>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c r="A87" s="3">
        <f t="shared" si="1"/>
        <v>86</v>
      </c>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c r="A88" s="3">
        <f t="shared" si="1"/>
        <v>87</v>
      </c>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c r="A89" s="3">
        <f t="shared" si="1"/>
        <v>88</v>
      </c>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c r="A90" s="3">
        <f t="shared" si="1"/>
        <v>89</v>
      </c>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c r="A91" s="3">
        <f t="shared" si="1"/>
        <v>90</v>
      </c>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c r="A92" s="3">
        <f t="shared" si="1"/>
        <v>91</v>
      </c>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c r="A93" s="3">
        <f t="shared" si="1"/>
        <v>92</v>
      </c>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c r="A94" s="3">
        <f t="shared" si="1"/>
        <v>93</v>
      </c>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c r="A95" s="3">
        <f t="shared" si="1"/>
        <v>94</v>
      </c>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c r="A96" s="3">
        <f t="shared" si="1"/>
        <v>95</v>
      </c>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c r="A97" s="3">
        <f t="shared" si="1"/>
        <v>96</v>
      </c>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c r="A98" s="3">
        <f t="shared" si="1"/>
        <v>97</v>
      </c>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c r="A99" s="3">
        <f t="shared" si="1"/>
        <v>98</v>
      </c>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c r="A100" s="3">
        <f t="shared" si="1"/>
        <v>99</v>
      </c>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sheetData>
  <conditionalFormatting sqref="B2:B100">
    <cfRule type="expression" dxfId="0" priority="1">
      <formula>B2="已完成"</formula>
    </cfRule>
    <cfRule type="expression" dxfId="1" priority="2">
      <formula>B2="待复核"</formula>
    </cfRule>
    <cfRule type="expression" dxfId="2" priority="3">
      <formula>B2="需补充"</formula>
    </cfRule>
  </conditionalFormatting>
  <conditionalFormatting sqref="E2:E100">
    <cfRule type="expression" dxfId="3" priority="4">
      <formula>E2="高"</formula>
    </cfRule>
    <cfRule type="expression" dxfId="1" priority="5">
      <formula>E2="中"</formula>
    </cfRule>
    <cfRule type="expression" dxfId="4" priority="6">
      <formula>E2="低"</formula>
    </cfRule>
  </conditionalFormatting>
  <dataValidations count="7">
    <dataValidation type="list" sqref="B2:B100">
      <formula1>下拉选项!$A$2:$A$6</formula1>
    </dataValidation>
    <dataValidation type="list" sqref="D2:D100">
      <formula1>下拉选项!$B$2:$B$9</formula1>
    </dataValidation>
    <dataValidation type="list" sqref="E2:E100">
      <formula1>下拉选项!$F$2:$F$4</formula1>
    </dataValidation>
    <dataValidation type="list" sqref="L2:L100">
      <formula1>下拉选项!$C$2:$C$13</formula1>
    </dataValidation>
    <dataValidation type="list" sqref="V2:V100">
      <formula1>下拉选项!$D$2:$D$10</formula1>
    </dataValidation>
    <dataValidation type="list" sqref="X2:X100">
      <formula1>下拉选项!$E$2:$E$9</formula1>
    </dataValidation>
    <dataValidation type="list" sqref="Z2:Z100">
      <formula1>"是,否,部分阅读"</formula1>
    </dataValidation>
  </dataValidations>
  <hyperlinks>
    <hyperlink ref="J2" r:id="rId2" display="https://web.media.mit.edu/~cynthiab/Readings/schaal-TICS1999.pdf" tooltip="https://web.media.mit.edu/~cynthiab/Readings/schaal-TICS1999.pdf"/>
    <hyperlink ref="J3" r:id="rId3" display="https://www.roboticsproceedings.org/rss20/p043.pdf" tooltip="https://www.roboticsproceedings.org/rss20/p043.pdf"/>
    <hyperlink ref="J4" r:id="rId4" display="https://doi.org/10.1109/ICRA55743.2025.11128180"/>
    <hyperlink ref="J5" r:id="rId5" display="https://doi.org/10.1109/IROS60139.2025.11247017"/>
    <hyperlink ref="J6" r:id="rId6" display="https://doi.org/10.48550/arXiv.2407.01512" tooltip="https://doi.org/10.48550/arXiv.2407.01512"/>
    <hyperlink ref="J7" r:id="rId7" display="https://doi.org/10.48550/arXiv.2408.11805"/>
    <hyperlink ref="J8" r:id="rId8" display="https://doi.org/10.48550/arXiv.2410.24221" tooltip="https://doi.org/10.48550/arXiv.2410.24221"/>
    <hyperlink ref="J9" r:id="rId9" display="https://doi.org/10.48550/arXiv.2410.10803" tooltip="https://doi.org/10.48550/arXiv.2410.10803"/>
    <hyperlink ref="J10" r:id="rId10" display="https://doi.org/10.48550/arXiv.2410.18964" tooltip="https://doi.org/10.48550/arXiv.2410.18964"/>
    <hyperlink ref="J11" r:id="rId11" display="https://doi.org/10.48550/arXiv.2410.11792"/>
  </hyperlink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5" outlineLevelCol="7"/>
  <cols>
    <col min="1" max="2" width="18" customWidth="1"/>
    <col min="3" max="3" width="28" customWidth="1"/>
    <col min="4" max="4" width="22" customWidth="1"/>
    <col min="5" max="6" width="32" customWidth="1"/>
    <col min="7" max="7" width="28" customWidth="1"/>
    <col min="8" max="8" width="48" customWidth="1"/>
  </cols>
  <sheetData>
    <row r="1" ht="25.65" customHeight="1" spans="1:8">
      <c r="A1" s="6" t="s">
        <v>306</v>
      </c>
      <c r="B1" s="6" t="s">
        <v>307</v>
      </c>
      <c r="C1" s="6" t="s">
        <v>308</v>
      </c>
      <c r="D1" s="6" t="s">
        <v>309</v>
      </c>
      <c r="E1" s="6" t="s">
        <v>310</v>
      </c>
      <c r="F1" s="6" t="s">
        <v>311</v>
      </c>
      <c r="G1" s="6" t="s">
        <v>312</v>
      </c>
      <c r="H1" s="6" t="s">
        <v>313</v>
      </c>
    </row>
    <row r="2" ht="36" customHeight="1" spans="1:8">
      <c r="A2" s="3" t="s">
        <v>314</v>
      </c>
      <c r="B2" s="3" t="s">
        <v>315</v>
      </c>
      <c r="C2" s="3" t="s">
        <v>316</v>
      </c>
      <c r="D2" s="3" t="s">
        <v>317</v>
      </c>
      <c r="E2" s="3" t="s">
        <v>318</v>
      </c>
      <c r="F2" s="3" t="s">
        <v>319</v>
      </c>
      <c r="G2" s="3" t="s">
        <v>320</v>
      </c>
      <c r="H2" s="3" t="s">
        <v>321</v>
      </c>
    </row>
    <row r="3" ht="36" customHeight="1" spans="1:8">
      <c r="A3" s="3" t="s">
        <v>322</v>
      </c>
      <c r="B3" s="3" t="s">
        <v>323</v>
      </c>
      <c r="C3" s="3" t="s">
        <v>324</v>
      </c>
      <c r="D3" s="3" t="s">
        <v>325</v>
      </c>
      <c r="E3" s="3" t="s">
        <v>326</v>
      </c>
      <c r="F3" s="3" t="s">
        <v>327</v>
      </c>
      <c r="G3" s="3" t="s">
        <v>328</v>
      </c>
      <c r="H3" s="3" t="s">
        <v>329</v>
      </c>
    </row>
    <row r="4" ht="36" customHeight="1" spans="1:8">
      <c r="A4" s="3" t="s">
        <v>330</v>
      </c>
      <c r="B4" s="3" t="s">
        <v>331</v>
      </c>
      <c r="C4" s="3" t="s">
        <v>332</v>
      </c>
      <c r="D4" s="3" t="s">
        <v>333</v>
      </c>
      <c r="E4" s="3" t="s">
        <v>334</v>
      </c>
      <c r="F4" s="3" t="s">
        <v>335</v>
      </c>
      <c r="G4" s="3" t="s">
        <v>336</v>
      </c>
      <c r="H4" s="3" t="s">
        <v>337</v>
      </c>
    </row>
    <row r="5" ht="36" customHeight="1" spans="1:8">
      <c r="A5" s="3" t="s">
        <v>338</v>
      </c>
      <c r="B5" s="3" t="s">
        <v>339</v>
      </c>
      <c r="C5" s="3" t="s">
        <v>340</v>
      </c>
      <c r="D5" s="3" t="s">
        <v>341</v>
      </c>
      <c r="E5" s="3" t="s">
        <v>342</v>
      </c>
      <c r="F5" s="3" t="s">
        <v>343</v>
      </c>
      <c r="G5" s="3" t="s">
        <v>344</v>
      </c>
      <c r="H5" s="3" t="s">
        <v>345</v>
      </c>
    </row>
    <row r="6" ht="45" customHeight="1" spans="1:8">
      <c r="A6" s="3" t="s">
        <v>346</v>
      </c>
      <c r="B6" s="3" t="s">
        <v>347</v>
      </c>
      <c r="C6" s="3" t="s">
        <v>348</v>
      </c>
      <c r="D6" s="3" t="s">
        <v>349</v>
      </c>
      <c r="E6" s="3" t="s">
        <v>350</v>
      </c>
      <c r="F6" s="3" t="s">
        <v>351</v>
      </c>
      <c r="G6" s="3" t="s">
        <v>352</v>
      </c>
      <c r="H6" s="3" t="s">
        <v>353</v>
      </c>
    </row>
    <row r="7" ht="33" customHeight="1" spans="1:8">
      <c r="A7" s="3" t="s">
        <v>354</v>
      </c>
      <c r="B7" s="3" t="s">
        <v>355</v>
      </c>
      <c r="C7" s="3" t="s">
        <v>356</v>
      </c>
      <c r="D7" s="3" t="s">
        <v>357</v>
      </c>
      <c r="E7" s="3" t="s">
        <v>358</v>
      </c>
      <c r="F7" s="3" t="s">
        <v>359</v>
      </c>
      <c r="G7" s="3" t="s">
        <v>360</v>
      </c>
      <c r="H7" s="3" t="s">
        <v>361</v>
      </c>
    </row>
    <row r="8" ht="54" customHeight="1" spans="1:8">
      <c r="A8" s="3" t="s">
        <v>362</v>
      </c>
      <c r="B8" s="3" t="s">
        <v>44</v>
      </c>
      <c r="C8" s="3" t="s">
        <v>363</v>
      </c>
      <c r="D8" s="3" t="s">
        <v>364</v>
      </c>
      <c r="E8" s="3" t="s">
        <v>365</v>
      </c>
      <c r="F8" s="3" t="s">
        <v>366</v>
      </c>
      <c r="G8" s="3" t="s">
        <v>367</v>
      </c>
      <c r="H8" s="3" t="s">
        <v>368</v>
      </c>
    </row>
    <row r="9" spans="1:8">
      <c r="A9" s="3"/>
      <c r="B9" s="3"/>
      <c r="C9" s="3"/>
      <c r="D9" s="3"/>
      <c r="E9" s="3"/>
      <c r="F9" s="3"/>
      <c r="G9" s="3"/>
      <c r="H9" s="3"/>
    </row>
    <row r="10" spans="1:8">
      <c r="A10" s="3"/>
      <c r="B10" s="3"/>
      <c r="C10" s="3"/>
      <c r="D10" s="3"/>
      <c r="E10" s="3"/>
      <c r="F10" s="3"/>
      <c r="G10" s="3"/>
      <c r="H10" s="3"/>
    </row>
    <row r="11" spans="1:8">
      <c r="A11" s="3"/>
      <c r="B11" s="3"/>
      <c r="C11" s="3"/>
      <c r="D11" s="3"/>
      <c r="E11" s="3"/>
      <c r="F11" s="3"/>
      <c r="G11" s="3"/>
      <c r="H11" s="3"/>
    </row>
    <row r="12" spans="1:8">
      <c r="A12" s="3"/>
      <c r="B12" s="3"/>
      <c r="C12" s="3"/>
      <c r="D12" s="3"/>
      <c r="E12" s="3"/>
      <c r="F12" s="3"/>
      <c r="G12" s="3"/>
      <c r="H12" s="3"/>
    </row>
    <row r="13" spans="1:8">
      <c r="A13" s="3"/>
      <c r="B13" s="3"/>
      <c r="C13" s="3"/>
      <c r="D13" s="3"/>
      <c r="E13" s="3"/>
      <c r="F13" s="3"/>
      <c r="G13" s="3"/>
      <c r="H13" s="3"/>
    </row>
    <row r="14" spans="1:8">
      <c r="A14" s="3"/>
      <c r="B14" s="3"/>
      <c r="C14" s="3"/>
      <c r="D14" s="3"/>
      <c r="E14" s="3"/>
      <c r="F14" s="3"/>
      <c r="G14" s="3"/>
      <c r="H14" s="3"/>
    </row>
    <row r="15" spans="1:8">
      <c r="A15" s="3"/>
      <c r="B15" s="3"/>
      <c r="C15" s="3"/>
      <c r="D15" s="3"/>
      <c r="E15" s="3"/>
      <c r="F15" s="3"/>
      <c r="G15" s="3"/>
      <c r="H15" s="3"/>
    </row>
    <row r="16" spans="1:8">
      <c r="A16" s="3"/>
      <c r="B16" s="3"/>
      <c r="C16" s="3"/>
      <c r="D16" s="3"/>
      <c r="E16" s="3"/>
      <c r="F16" s="3"/>
      <c r="G16" s="3"/>
      <c r="H16" s="3"/>
    </row>
    <row r="17" spans="1:8">
      <c r="A17" s="3"/>
      <c r="B17" s="3"/>
      <c r="C17" s="3"/>
      <c r="D17" s="3"/>
      <c r="E17" s="3"/>
      <c r="F17" s="3"/>
      <c r="G17" s="3"/>
      <c r="H17" s="3"/>
    </row>
    <row r="18" spans="1:8">
      <c r="A18" s="3"/>
      <c r="B18" s="3"/>
      <c r="C18" s="3"/>
      <c r="D18" s="3"/>
      <c r="E18" s="3"/>
      <c r="F18" s="3"/>
      <c r="G18" s="3"/>
      <c r="H18" s="3"/>
    </row>
    <row r="19" spans="1:8">
      <c r="A19" s="3"/>
      <c r="B19" s="3"/>
      <c r="C19" s="3"/>
      <c r="D19" s="3"/>
      <c r="E19" s="3"/>
      <c r="F19" s="3"/>
      <c r="G19" s="3"/>
      <c r="H19" s="3"/>
    </row>
    <row r="20" spans="1:8">
      <c r="A20" s="3"/>
      <c r="B20" s="3"/>
      <c r="C20" s="3"/>
      <c r="D20" s="3"/>
      <c r="E20" s="3"/>
      <c r="F20" s="3"/>
      <c r="G20" s="3"/>
      <c r="H20" s="3"/>
    </row>
    <row r="21" spans="1:8">
      <c r="A21" s="3"/>
      <c r="B21" s="3"/>
      <c r="C21" s="3"/>
      <c r="D21" s="3"/>
      <c r="E21" s="3"/>
      <c r="F21" s="3"/>
      <c r="G21" s="3"/>
      <c r="H21" s="3"/>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D7" sqref="D7"/>
    </sheetView>
  </sheetViews>
  <sheetFormatPr defaultColWidth="9" defaultRowHeight="15" outlineLevelCol="3"/>
  <cols>
    <col min="1" max="1" width="20" customWidth="1"/>
    <col min="2" max="2" width="38" customWidth="1"/>
    <col min="3" max="3" width="44" customWidth="1"/>
    <col min="4" max="4" width="36" customWidth="1"/>
  </cols>
  <sheetData>
    <row r="1" ht="25.65" customHeight="1" spans="1:4">
      <c r="A1" s="2" t="s">
        <v>369</v>
      </c>
      <c r="B1" s="2" t="s">
        <v>370</v>
      </c>
      <c r="C1" s="2" t="s">
        <v>371</v>
      </c>
      <c r="D1" s="2" t="s">
        <v>372</v>
      </c>
    </row>
    <row r="2" ht="18" customHeight="1" spans="1:4">
      <c r="A2" s="3" t="s">
        <v>1</v>
      </c>
      <c r="B2" s="3" t="s">
        <v>373</v>
      </c>
      <c r="C2" s="3" t="s">
        <v>374</v>
      </c>
      <c r="D2" s="3" t="s">
        <v>375</v>
      </c>
    </row>
    <row r="3" ht="18" customHeight="1" spans="1:4">
      <c r="A3" s="3" t="s">
        <v>2</v>
      </c>
      <c r="B3" s="3" t="s">
        <v>376</v>
      </c>
      <c r="C3" s="4" t="s">
        <v>377</v>
      </c>
      <c r="D3" s="4" t="s">
        <v>378</v>
      </c>
    </row>
    <row r="4" ht="18" customHeight="1" spans="1:4">
      <c r="A4" s="3" t="s">
        <v>3</v>
      </c>
      <c r="B4" s="3" t="s">
        <v>379</v>
      </c>
      <c r="C4" s="3" t="s">
        <v>338</v>
      </c>
      <c r="D4" s="4" t="s">
        <v>380</v>
      </c>
    </row>
    <row r="5" ht="30" customHeight="1" spans="1:4">
      <c r="A5" s="3" t="s">
        <v>5</v>
      </c>
      <c r="B5" s="3" t="s">
        <v>381</v>
      </c>
      <c r="C5" s="3" t="s">
        <v>382</v>
      </c>
      <c r="D5" s="4" t="s">
        <v>383</v>
      </c>
    </row>
    <row r="6" ht="18" customHeight="1" spans="1:4">
      <c r="A6" s="3" t="s">
        <v>9</v>
      </c>
      <c r="B6" s="3" t="s">
        <v>384</v>
      </c>
      <c r="C6" s="3" t="s">
        <v>385</v>
      </c>
      <c r="D6" s="4" t="s">
        <v>386</v>
      </c>
    </row>
    <row r="7" ht="18" customHeight="1" spans="1:4">
      <c r="A7" s="3" t="s">
        <v>12</v>
      </c>
      <c r="B7" s="3" t="s">
        <v>387</v>
      </c>
      <c r="C7" s="3" t="s">
        <v>388</v>
      </c>
      <c r="D7" s="4" t="s">
        <v>389</v>
      </c>
    </row>
    <row r="8" ht="18" customHeight="1" spans="1:4">
      <c r="A8" s="3" t="s">
        <v>13</v>
      </c>
      <c r="B8" s="3" t="s">
        <v>390</v>
      </c>
      <c r="C8" s="3" t="s">
        <v>391</v>
      </c>
      <c r="D8" s="3" t="s">
        <v>392</v>
      </c>
    </row>
    <row r="9" ht="18" customHeight="1" spans="1:4">
      <c r="A9" s="3" t="s">
        <v>14</v>
      </c>
      <c r="B9" s="3" t="s">
        <v>393</v>
      </c>
      <c r="C9" s="3" t="s">
        <v>394</v>
      </c>
      <c r="D9" s="3" t="s">
        <v>395</v>
      </c>
    </row>
    <row r="10" ht="18" customHeight="1" spans="1:4">
      <c r="A10" s="3" t="s">
        <v>18</v>
      </c>
      <c r="B10" s="3" t="s">
        <v>396</v>
      </c>
      <c r="C10" s="3" t="s">
        <v>397</v>
      </c>
      <c r="D10" s="3" t="s">
        <v>398</v>
      </c>
    </row>
    <row r="11" ht="18" customHeight="1" spans="1:4">
      <c r="A11" s="3" t="s">
        <v>19</v>
      </c>
      <c r="B11" s="3" t="s">
        <v>399</v>
      </c>
      <c r="C11" s="3" t="s">
        <v>400</v>
      </c>
      <c r="D11" s="4" t="s">
        <v>401</v>
      </c>
    </row>
    <row r="12" ht="18" customHeight="1" spans="1:4">
      <c r="A12" s="3" t="s">
        <v>20</v>
      </c>
      <c r="B12" s="3" t="s">
        <v>402</v>
      </c>
      <c r="C12" s="3" t="s">
        <v>403</v>
      </c>
      <c r="D12" s="4" t="s">
        <v>404</v>
      </c>
    </row>
    <row r="13" ht="18" customHeight="1" spans="1:4">
      <c r="A13" s="3" t="s">
        <v>21</v>
      </c>
      <c r="B13" s="3" t="s">
        <v>405</v>
      </c>
      <c r="C13" s="3" t="s">
        <v>406</v>
      </c>
      <c r="D13" s="3" t="s">
        <v>407</v>
      </c>
    </row>
    <row r="14" ht="36" customHeight="1" spans="1:4">
      <c r="A14" s="3" t="s">
        <v>22</v>
      </c>
      <c r="B14" s="3" t="s">
        <v>408</v>
      </c>
      <c r="C14" s="5" t="s">
        <v>409</v>
      </c>
      <c r="D14" s="3" t="s">
        <v>410</v>
      </c>
    </row>
    <row r="15" spans="1:4">
      <c r="A15" s="3"/>
      <c r="B15" s="3"/>
      <c r="C15" s="3"/>
      <c r="D15" s="3"/>
    </row>
    <row r="16" spans="1:4">
      <c r="A16" s="3"/>
      <c r="B16" s="3"/>
      <c r="C16" s="3"/>
      <c r="D16" s="3"/>
    </row>
    <row r="17" spans="1:4">
      <c r="A17" s="3"/>
      <c r="B17" s="3"/>
      <c r="C17" s="3"/>
      <c r="D17" s="3"/>
    </row>
    <row r="18" spans="1:4">
      <c r="A18" s="3"/>
      <c r="B18" s="3"/>
      <c r="C18" s="3"/>
      <c r="D18" s="3"/>
    </row>
    <row r="19" spans="1:4">
      <c r="A19" s="3"/>
      <c r="B19" s="3"/>
      <c r="C19" s="3"/>
      <c r="D19" s="3"/>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selection activeCell="A1" sqref="A1"/>
    </sheetView>
  </sheetViews>
  <sheetFormatPr defaultColWidth="9" defaultRowHeight="15" outlineLevelCol="5"/>
  <cols>
    <col min="1" max="1" width="7.8" customWidth="1"/>
    <col min="2" max="2" width="12.5" customWidth="1"/>
    <col min="3" max="3" width="18.4" customWidth="1"/>
    <col min="4" max="4" width="7.8" customWidth="1"/>
    <col min="5" max="5" width="27.7" customWidth="1"/>
    <col min="6" max="6" width="5.8" customWidth="1"/>
  </cols>
  <sheetData>
    <row r="1" ht="36" customHeight="1" spans="1:6">
      <c r="A1" s="1" t="s">
        <v>1</v>
      </c>
      <c r="B1" s="1" t="s">
        <v>3</v>
      </c>
      <c r="C1" s="1" t="s">
        <v>11</v>
      </c>
      <c r="D1" s="1" t="s">
        <v>411</v>
      </c>
      <c r="E1" s="1" t="s">
        <v>23</v>
      </c>
      <c r="F1" s="1" t="s">
        <v>4</v>
      </c>
    </row>
    <row r="2" spans="1:6">
      <c r="A2" t="s">
        <v>412</v>
      </c>
      <c r="B2" t="s">
        <v>413</v>
      </c>
      <c r="C2" t="s">
        <v>414</v>
      </c>
      <c r="D2" t="s">
        <v>415</v>
      </c>
      <c r="E2" t="s">
        <v>416</v>
      </c>
      <c r="F2" t="s">
        <v>193</v>
      </c>
    </row>
    <row r="3" spans="1:6">
      <c r="A3" t="s">
        <v>417</v>
      </c>
      <c r="B3" t="s">
        <v>418</v>
      </c>
      <c r="C3" t="s">
        <v>419</v>
      </c>
      <c r="D3" t="s">
        <v>420</v>
      </c>
      <c r="E3" t="s">
        <v>421</v>
      </c>
      <c r="F3" t="s">
        <v>97</v>
      </c>
    </row>
    <row r="4" spans="1:6">
      <c r="A4" t="s">
        <v>27</v>
      </c>
      <c r="B4" t="s">
        <v>250</v>
      </c>
      <c r="C4" t="s">
        <v>422</v>
      </c>
      <c r="D4" t="s">
        <v>423</v>
      </c>
      <c r="E4" t="s">
        <v>248</v>
      </c>
      <c r="F4" t="s">
        <v>424</v>
      </c>
    </row>
    <row r="5" spans="1:6">
      <c r="A5" t="s">
        <v>425</v>
      </c>
      <c r="B5" t="s">
        <v>338</v>
      </c>
      <c r="C5" t="s">
        <v>426</v>
      </c>
      <c r="D5" t="s">
        <v>427</v>
      </c>
      <c r="E5" t="s">
        <v>428</v>
      </c>
    </row>
    <row r="6" spans="1:6">
      <c r="A6" t="s">
        <v>429</v>
      </c>
      <c r="B6" t="s">
        <v>346</v>
      </c>
      <c r="C6" t="s">
        <v>430</v>
      </c>
      <c r="D6" t="s">
        <v>431</v>
      </c>
      <c r="E6" t="s">
        <v>432</v>
      </c>
    </row>
    <row r="7" spans="1:6">
      <c r="B7" t="s">
        <v>354</v>
      </c>
      <c r="C7" t="s">
        <v>433</v>
      </c>
      <c r="D7" t="s">
        <v>434</v>
      </c>
      <c r="E7" t="s">
        <v>435</v>
      </c>
    </row>
    <row r="8" spans="1:6">
      <c r="B8" t="s">
        <v>330</v>
      </c>
      <c r="C8" t="s">
        <v>344</v>
      </c>
      <c r="D8" t="s">
        <v>436</v>
      </c>
      <c r="E8" t="s">
        <v>437</v>
      </c>
    </row>
    <row r="9" spans="1:6">
      <c r="B9" t="s">
        <v>438</v>
      </c>
      <c r="C9" t="s">
        <v>439</v>
      </c>
      <c r="D9" t="s">
        <v>440</v>
      </c>
      <c r="E9" t="s">
        <v>441</v>
      </c>
    </row>
    <row r="10" spans="1:6">
      <c r="C10" t="s">
        <v>442</v>
      </c>
      <c r="D10" t="s">
        <v>443</v>
      </c>
    </row>
    <row r="11" spans="1:6">
      <c r="C11" t="s">
        <v>444</v>
      </c>
    </row>
    <row r="12" spans="1:6">
      <c r="C12" t="s">
        <v>445</v>
      </c>
    </row>
    <row r="13" spans="1:6">
      <c r="C13" t="s">
        <v>446</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文献记录总表</vt:lpstr>
      <vt:lpstr>逻辑关系总览</vt:lpstr>
      <vt:lpstr>填写说明</vt:lpstr>
      <vt:lpstr>下拉选项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周毅</dc:creator>
  <cp:lastModifiedBy>sun</cp:lastModifiedBy>
  <dcterms:created xsi:type="dcterms:W3CDTF">2026-05-11T11:40:00Z</dcterms:created>
  <dcterms:modified xsi:type="dcterms:W3CDTF">2026-05-18T16:16:14Z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53F52B0AA8ADC1C38F8DFE69B393AF28_43</vt:lpwstr>
  </property>
  <property fmtid="{D5CDD505-2E9C-101B-9397-08002B2CF9AE}" pid="3" name="KSOProductBuildVer">
    <vt:lpwstr>2052-12.1.2.24730</vt:lpwstr>
  </property>
  <property fmtid="{D5CDD505-2E9C-101B-9397-08002B2CF9AE}" pid="4" name="CalculationRule">
    <vt:i4>0</vt:i4>
  </property>
</Properties>
</file>